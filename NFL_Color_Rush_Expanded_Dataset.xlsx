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5.xml.rels" ContentType="application/vnd.openxmlformats-package.relationships+xml"/>
  <Override PartName="/xl/worksheets/_rels/sheet1.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13.xml.rels" ContentType="application/vnd.openxmlformats-package.relationships+xml"/>
  <Override PartName="/xl/worksheets/_rels/sheet5.xml.rels" ContentType="application/vnd.openxmlformats-package.relationships+xml"/>
  <Override PartName="/xl/worksheets/_rels/sheet1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_HERE" sheetId="1" state="visible" r:id="rId3"/>
    <sheet name="Game_Log_2015_2017" sheetId="2" state="visible" r:id="rId4"/>
    <sheet name="Viewership_Context" sheetId="3" state="visible" r:id="rId5"/>
    <sheet name="Evidence_Claims" sheetId="4" state="visible" r:id="rId6"/>
    <sheet name="Sources" sheetId="5" state="visible" r:id="rId7"/>
    <sheet name="Sentiment_Coding" sheetId="6" state="visible" r:id="rId8"/>
    <sheet name="Search_Log" sheetId="7" state="visible" r:id="rId9"/>
    <sheet name="Reliability_Check" sheetId="8" state="visible" r:id="rId10"/>
    <sheet name="Sentiment_Protocol" sheetId="9" state="visible" r:id="rId11"/>
    <sheet name="Pilot_Tally" sheetId="10" state="visible" r:id="rId12"/>
    <sheet name="Merchandise_Research" sheetId="11" state="visible" r:id="rId13"/>
    <sheet name="Broadcast_Criticism" sheetId="12" state="visible" r:id="rId14"/>
    <sheet name="Accessibility_Audit" sheetId="13" state="visible" r:id="rId15"/>
    <sheet name="Audit_Rubric" sheetId="14" state="visible" r:id="rId16"/>
    <sheet name="Matched_Control_Games" sheetId="15" state="visible" r:id="rId17"/>
  </sheets>
  <definedNames>
    <definedName function="false" hidden="true" localSheetId="12" name="_xlnm._FilterDatabase" vbProcedure="false">Accessibility_Audit!$A$1:$X$33</definedName>
    <definedName function="false" hidden="true" localSheetId="11" name="_xlnm._FilterDatabase" vbProcedure="false">Broadcast_Criticism!$A$1:$J$1</definedName>
    <definedName function="false" hidden="true" localSheetId="3" name="_xlnm._FilterDatabase" vbProcedure="false">Evidence_Claims!$A$1:$D$9</definedName>
    <definedName function="false" hidden="true" localSheetId="1" name="_xlnm._FilterDatabase" vbProcedure="false">Game_Log_2015_2017!$A$1:$Y$33</definedName>
    <definedName function="false" hidden="true" localSheetId="14" name="_xlnm._FilterDatabase" vbProcedure="false">Matched_Control_Games!$A$1:$O$1</definedName>
    <definedName function="false" hidden="true" localSheetId="10" name="_xlnm._FilterDatabase" vbProcedure="false">Merchandise_Research!$A$1:$N$1</definedName>
    <definedName function="false" hidden="true" localSheetId="5" name="_xlnm._FilterDatabase" vbProcedure="false">Sentiment_Coding!$A$1:$Z$501</definedName>
    <definedName function="false" hidden="true" localSheetId="4" name="_xlnm._FilterDatabase" vbProcedure="false">Sources!$A$1:$C$12</definedName>
    <definedName function="false" hidden="true" localSheetId="0" name="_xlnm._FilterDatabase" vbProcedure="false">START_HERE!$A$1:$B$9</definedName>
    <definedName function="false" hidden="true" localSheetId="2" name="_xlnm._FilterDatabase" vbProcedure="false">Viewership_Context!$A$1:$F$5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<sst xmlns="http://schemas.openxmlformats.org/spreadsheetml/2006/main" count="1016" uniqueCount="633">
  <si>
    <t xml:space="preserve">section</t>
  </si>
  <si>
    <t xml:space="preserve">details</t>
  </si>
  <si>
    <t xml:space="preserve">Scope</t>
  </si>
  <si>
    <t xml:space="preserve">Expanded research dataset for mandatory NFL Color Rush promotion, starting in Week 10 of 2015 and ending after 2017.</t>
  </si>
  <si>
    <t xml:space="preserve">Game log</t>
  </si>
  <si>
    <t xml:space="preserve">Includes 32 game rows: the 4 2015 Color Rush events, 14 2016 TNF games, and 14 2017 Thursday games (including the Thanksgiving 2017 Giants-Washington game, which is not a verified Color Rush game). Home/away and scores were verified against nflverse and corrected. Verify each game's actual uniform use before treating it as a treatment observation.</t>
  </si>
  <si>
    <t xml:space="preserve">Critical caveat</t>
  </si>
  <si>
    <t xml:space="preserve">The schedule archive includes games in the Color Rush era, but individual teams did not always wear the designed uniform. Use uniform_combo_note and source links to distinguish actual use from scheduled promotion.</t>
  </si>
  <si>
    <t xml:space="preserve">Blank values</t>
  </si>
  <si>
    <t xml:space="preserve">Blank viewership, sales, social complaint, and broadcaster complaint fields mean not verified / not collected, not zero.</t>
  </si>
  <si>
    <t xml:space="preserve">Merchandise</t>
  </si>
  <si>
    <t xml:space="preserve">Public Color Rush-specific unit sales and revenue were not found. Do not invent them. Use sales rank or listing price only if documented, and do not treat a rank as sales units.</t>
  </si>
  <si>
    <t xml:space="preserve">Analysis plan</t>
  </si>
  <si>
    <t xml:space="preserve">First verify actual uniform combos. Then join game-level audience data. Build matched controls based on teams, kickoff slot, network, team strength, star absences, and date. Model viewers as outcome; Color Rush as predictor. Treat estimates as associative unless design supports causality.</t>
  </si>
  <si>
    <t xml:space="preserve">Sentiment</t>
  </si>
  <si>
    <t xml:space="preserve">Collect public posts using consistent search terms and time windows around game day and policy announcement; deduplicate and manually validate. Do not infer colorblindness unless a person explicitly says so.</t>
  </si>
  <si>
    <t xml:space="preserve">Limitations</t>
  </si>
  <si>
    <t xml:space="preserve">Game-level Nielsen TV viewership is now sourced for 30 of 32 games (secondary trade-press reporting; networks differ, so compare within network). NFL Shop sales, representative fan surveys, systematic fan-sentiment counts, and on-air broadcaster criticism counts remain unavailable or need independent collection.</t>
  </si>
  <si>
    <t xml:space="preserve">Accessibility audit</t>
  </si>
  <si>
    <t xml:space="preserve">Accessibility_Audit is pre-populated with all 32 games currently in the game log (linked to the game log); scores are blank until audited. See Audit_Rubric for the 1-5 scale, procedure, calibration anchor, and limitations.</t>
  </si>
  <si>
    <t xml:space="preserve">Sentiment collection</t>
  </si>
  <si>
    <t xml:space="preserve">Sentiment_Coding is set up for Reddit collection (one row per unique comment, dropdown-validated). See Sentiment_Protocol for rules, Search_Log to record every query, and Reliability_Check for the second-coder subset.</t>
  </si>
  <si>
    <t xml:space="preserve">date</t>
  </si>
  <si>
    <t xml:space="preserve">season</t>
  </si>
  <si>
    <t xml:space="preserve">week</t>
  </si>
  <si>
    <t xml:space="preserve">home_team</t>
  </si>
  <si>
    <t xml:space="preserve">away_team</t>
  </si>
  <si>
    <t xml:space="preserve">home_score</t>
  </si>
  <si>
    <t xml:space="preserve">away_score</t>
  </si>
  <si>
    <t xml:space="preserve">network</t>
  </si>
  <si>
    <t xml:space="preserve">uniform_combo_note</t>
  </si>
  <si>
    <t xml:space="preserve">accessibility_or_context_note</t>
  </si>
  <si>
    <t xml:space="preserve">source_note</t>
  </si>
  <si>
    <t xml:space="preserve">source_url</t>
  </si>
  <si>
    <t xml:space="preserve">viewers_millions</t>
  </si>
  <si>
    <t xml:space="preserve">household_rating</t>
  </si>
  <si>
    <t xml:space="preserve">audience_metric_source_url</t>
  </si>
  <si>
    <t xml:space="preserve">social_complaint_count</t>
  </si>
  <si>
    <t xml:space="preserve">nfl_shop_units_sold</t>
  </si>
  <si>
    <t xml:space="preserve">nfl_shop_revenue_usd</t>
  </si>
  <si>
    <t xml:space="preserve">broadcast_criticism_count</t>
  </si>
  <si>
    <t xml:space="preserve">missing_data_note</t>
  </si>
  <si>
    <t xml:space="preserve">score_margin</t>
  </si>
  <si>
    <t xml:space="preserve">viewership_basis</t>
  </si>
  <si>
    <t xml:space="preserve">tad_millions</t>
  </si>
  <si>
    <t xml:space="preserve">viewership_note</t>
  </si>
  <si>
    <t xml:space="preserve">color_rush_status</t>
  </si>
  <si>
    <t xml:space="preserve">2015-11-12</t>
  </si>
  <si>
    <t xml:space="preserve">New York Jets</t>
  </si>
  <si>
    <t xml:space="preserve">Buffalo Bills</t>
  </si>
  <si>
    <t xml:space="preserve">NFL Network</t>
  </si>
  <si>
    <t xml:space="preserve">Bills red / Jets green</t>
  </si>
  <si>
    <t xml:space="preserve">Documented red-green visibility issue</t>
  </si>
  <si>
    <t xml:space="preserve">Gridiron Uniform Database; ABC News</t>
  </si>
  <si>
    <t xml:space="preserve">https://www.gridiron-uniforms.com/GUD/controller/controller.php?action=color-rush&amp;page-title=Color+Rush&amp;year=2015</t>
  </si>
  <si>
    <t xml:space="preserve">https://www.sportsmediawatch.com/2017/09/nfl-ratings-2017-49ers-rams-tnf-viewership/</t>
  </si>
  <si>
    <t xml:space="preserve">Merchandise units/revenue: no verified public series. Social complaint and broadcaster complaint counts: not yet collected. Blank is not zero.</t>
  </si>
  <si>
    <t xml:space="preserve">NFL Network only; Nielsen TV</t>
  </si>
  <si>
    <t xml:space="preserve">Reported by comparison in a later article.</t>
  </si>
  <si>
    <t xml:space="preserve">Color Rush game</t>
  </si>
  <si>
    <t xml:space="preserve">2015-11-19</t>
  </si>
  <si>
    <t xml:space="preserve">Jacksonville Jaguars</t>
  </si>
  <si>
    <t xml:space="preserve">Tennessee Titans</t>
  </si>
  <si>
    <t xml:space="preserve">Titans blue / Jaguars gold</t>
  </si>
  <si>
    <t xml:space="preserve">No verified standardized complaint count</t>
  </si>
  <si>
    <t xml:space="preserve">Gridiron Uniform Database</t>
  </si>
  <si>
    <t xml:space="preserve">https://www.sportsmediawatch.com/?p=35494</t>
  </si>
  <si>
    <t xml:space="preserve">2015-11-26</t>
  </si>
  <si>
    <t xml:space="preserve">Dallas Cowboys</t>
  </si>
  <si>
    <t xml:space="preserve">Carolina Panthers</t>
  </si>
  <si>
    <t xml:space="preserve">CBS</t>
  </si>
  <si>
    <t xml:space="preserve">Panthers blue / Cowboys white</t>
  </si>
  <si>
    <t xml:space="preserve">Thanksgiving game; Cowboys used white</t>
  </si>
  <si>
    <t xml:space="preserve">Viewership not located in sources searched. Merchandise units/revenue: no verified public series. Social complaint and broadcaster complaint counts: not yet collected. Blank is not zero.</t>
  </si>
  <si>
    <t xml:space="preserve">Thanksgiving night game on CBS; no sourced figure found.</t>
  </si>
  <si>
    <t xml:space="preserve">2015-12-17</t>
  </si>
  <si>
    <t xml:space="preserve">St. Louis Rams</t>
  </si>
  <si>
    <t xml:space="preserve">Tampa Bay Buccaneers</t>
  </si>
  <si>
    <t xml:space="preserve">Buccaneers red / Rams gold</t>
  </si>
  <si>
    <t xml:space="preserve">Color-combination criticism often described as ketchup-and-mustard; count not verified</t>
  </si>
  <si>
    <t xml:space="preserve">https://www.sportsmediawatch.com/2015/12/thursday-night-football-ratings-nfl-network-buccaneers-rams-viewership-season-low/</t>
  </si>
  <si>
    <t xml:space="preserve">2016-09-15</t>
  </si>
  <si>
    <t xml:space="preserve">CBS / NFL Network / Twitter</t>
  </si>
  <si>
    <t xml:space="preserve">Jets white instead of full green; Bills red</t>
  </si>
  <si>
    <t xml:space="preserve">Uniform adjustment after 2015 accessibility issue</t>
  </si>
  <si>
    <t xml:space="preserve">Gridiron Uniform Database; NFL.com</t>
  </si>
  <si>
    <t xml:space="preserve">https://www.gridiron-uniforms.com/GUD/controller/controller.php?action=color-rush&amp;page-title=Color+Rush&amp;year=2016</t>
  </si>
  <si>
    <t xml:space="preserve">https://www.sportsmediawatch.com/2016/09/thursday-night-football-ratings-cbs-nfl-network-twitter-jets-bills-viewership/</t>
  </si>
  <si>
    <t xml:space="preserve">CBS + NFL Network; Nielsen TV</t>
  </si>
  <si>
    <t xml:space="preserve">TAD 15.7M is AP's all-platform per-minute average incl. Twitter.</t>
  </si>
  <si>
    <t xml:space="preserve">2016-09-22</t>
  </si>
  <si>
    <t xml:space="preserve">New England Patriots</t>
  </si>
  <si>
    <t xml:space="preserve">Houston Texans</t>
  </si>
  <si>
    <t xml:space="preserve">Texans / Patriots Color Rush</t>
  </si>
  <si>
    <t xml:space="preserve">2016-09-29</t>
  </si>
  <si>
    <t xml:space="preserve">Cincinnati Bengals</t>
  </si>
  <si>
    <t xml:space="preserve">Miami Dolphins</t>
  </si>
  <si>
    <t xml:space="preserve">Dolphins / Bengals Color Rush</t>
  </si>
  <si>
    <t xml:space="preserve">https://www.sportsmediawatch.com/2016/09/thursday-night-football-ratings-nfl-network-dolphins-bengals-viewership/</t>
  </si>
  <si>
    <t xml:space="preserve">NFL press release (streamingmedia.com) gave 4.76 HH / 8.0M incl. digital.</t>
  </si>
  <si>
    <t xml:space="preserve">2016-10-06</t>
  </si>
  <si>
    <t xml:space="preserve">San Francisco 49ers</t>
  </si>
  <si>
    <t xml:space="preserve">Arizona Cardinals</t>
  </si>
  <si>
    <t xml:space="preserve">Cardinals / 49ers Color Rush</t>
  </si>
  <si>
    <t xml:space="preserve">https://www.sportsmediawatch.com/2016/10/thursday-night-football-ratings-down-cbs-49ers-cardinals-viewership/</t>
  </si>
  <si>
    <t xml:space="preserve">Later SMW articles cite 12.07M.</t>
  </si>
  <si>
    <t xml:space="preserve">2016-10-13</t>
  </si>
  <si>
    <t xml:space="preserve">San Diego Chargers</t>
  </si>
  <si>
    <t xml:space="preserve">Denver Broncos</t>
  </si>
  <si>
    <t xml:space="preserve">Broncos / Chargers Color Rush</t>
  </si>
  <si>
    <t xml:space="preserve">https://www.sportsmediawatch.com/2017/10/thursday-night-football-ratings-week-seven-chiefs-raiders/</t>
  </si>
  <si>
    <t xml:space="preserve">Later SMW article cites 14.49M.</t>
  </si>
  <si>
    <t xml:space="preserve">2016-10-20</t>
  </si>
  <si>
    <t xml:space="preserve">Green Bay Packers</t>
  </si>
  <si>
    <t xml:space="preserve">Chicago Bears</t>
  </si>
  <si>
    <t xml:space="preserve">Bears / Packers Color Rush</t>
  </si>
  <si>
    <t xml:space="preserve">https://www.sportsmediawatch.com/2017/09/nfl-ratings-2017-thursday-night-football-cbs-bears-packers/</t>
  </si>
  <si>
    <t xml:space="preserve">2016-10-27</t>
  </si>
  <si>
    <t xml:space="preserve">Jaguars / Titans Color Rush</t>
  </si>
  <si>
    <t xml:space="preserve">https://www.sportsmediawatch.com/?p=43603</t>
  </si>
  <si>
    <t xml:space="preserve">Rating from a later SMW comparison (2017 49ers-Rams article).</t>
  </si>
  <si>
    <t xml:space="preserve">2016-11-03</t>
  </si>
  <si>
    <t xml:space="preserve">Atlanta Falcons</t>
  </si>
  <si>
    <t xml:space="preserve">Falcons / Buccaneers Color Rush</t>
  </si>
  <si>
    <t xml:space="preserve">https://www.sportsmediawatch.com/?p=53610</t>
  </si>
  <si>
    <t xml:space="preserve">Reported only by comparison in a 2017 article; no direct 2016 source found.</t>
  </si>
  <si>
    <t xml:space="preserve">2016-11-10</t>
  </si>
  <si>
    <t xml:space="preserve">Baltimore Ravens</t>
  </si>
  <si>
    <t xml:space="preserve">Cleveland Browns</t>
  </si>
  <si>
    <t xml:space="preserve">Browns / Ravens Color Rush</t>
  </si>
  <si>
    <t xml:space="preserve">https://www.sportsmediawatch.com/2016/11/thursday-night-football-ratings-nfl-network-browns-ravens-viewership/</t>
  </si>
  <si>
    <t xml:space="preserve">2016-11-17</t>
  </si>
  <si>
    <t xml:space="preserve">New Orleans Saints</t>
  </si>
  <si>
    <t xml:space="preserve">NBC / NFL Network / Twitter</t>
  </si>
  <si>
    <t xml:space="preserve">Saints / Panthers Color Rush</t>
  </si>
  <si>
    <t xml:space="preserve">https://www.sportsmediawatch.com/2016/11/thursday-night-football-ratings-nbc-panthers-saints-nfl-network-viewership/</t>
  </si>
  <si>
    <t xml:space="preserve">NBC + NFL Network; Nielsen TV</t>
  </si>
  <si>
    <t xml:space="preserve">TAD per NBC release (incl. Twitter, NBC/NFL digital).</t>
  </si>
  <si>
    <t xml:space="preserve">2016-12-01</t>
  </si>
  <si>
    <t xml:space="preserve">Minnesota Vikings</t>
  </si>
  <si>
    <t xml:space="preserve">Cowboys / Vikings Color Rush</t>
  </si>
  <si>
    <t xml:space="preserve">https://nbcsportsgrouppressbox.com/2016/12/02/cowboys-vikings-on-nbc-nfl-network-twitter-is-most-watched-thursday-night-football-game-ever/</t>
  </si>
  <si>
    <t xml:space="preserve">Most-watched TNF game to that point. Rating 12.8 from a later SMW article.</t>
  </si>
  <si>
    <t xml:space="preserve">2016-12-08</t>
  </si>
  <si>
    <t xml:space="preserve">Kansas City Chiefs</t>
  </si>
  <si>
    <t xml:space="preserve">Oakland Raiders</t>
  </si>
  <si>
    <t xml:space="preserve">Raiders / Chiefs Color Rush</t>
  </si>
  <si>
    <t xml:space="preserve">https://nbcsportsgrouppressbox.com/2016/12/09/raiders-chiefs-on-nbc-nfl-network-twitter-posts-thursday-night-football-total-audience-delivery-average-of-17-8-million-viewers/</t>
  </si>
  <si>
    <t xml:space="preserve">Rating 10.5 from a later SMW article.</t>
  </si>
  <si>
    <t xml:space="preserve">2016-12-15</t>
  </si>
  <si>
    <t xml:space="preserve">Seattle Seahawks</t>
  </si>
  <si>
    <t xml:space="preserve">Los Angeles Rams</t>
  </si>
  <si>
    <t xml:space="preserve">Rams / Seahawks Color Rush</t>
  </si>
  <si>
    <t xml:space="preserve">https://www.sportsmediawatch.com/?p=44590</t>
  </si>
  <si>
    <t xml:space="preserve">Initial report said 14.6M; later SMW cites 14.65M. Twitter added 321K.</t>
  </si>
  <si>
    <t xml:space="preserve">2016-12-22</t>
  </si>
  <si>
    <t xml:space="preserve">Philadelphia Eagles</t>
  </si>
  <si>
    <t xml:space="preserve">New York Giants</t>
  </si>
  <si>
    <t xml:space="preserve">Giants / Eagles Color Rush</t>
  </si>
  <si>
    <t xml:space="preserve">https://www.sportsvideo.org/2016/12/27/ratings-roundup-snf-tnf-are-top-two-fall-primetime-shows-abcs-nba-finals-rematch-pulls-in-big-numbers-on-christmas/</t>
  </si>
  <si>
    <t xml:space="preserve">Household rating not found.</t>
  </si>
  <si>
    <t xml:space="preserve">2017-09-14</t>
  </si>
  <si>
    <t xml:space="preserve">Texans / Bengals Color Rush</t>
  </si>
  <si>
    <t xml:space="preserve">Gridiron Uniform Database; Sports Illustrated</t>
  </si>
  <si>
    <t xml:space="preserve">https://www.gridiron-uniforms.com/GUD/controller/controller.php?action=color-rush&amp;page-title=Color+Rush&amp;year=2017</t>
  </si>
  <si>
    <t xml:space="preserve">https://www.sportsmediawatch.com/2017/09/nfl-ratings-2017-thursday-night-football-bengals-texans-viewership/</t>
  </si>
  <si>
    <t xml:space="preserve">2017-09-21</t>
  </si>
  <si>
    <t xml:space="preserve">Rams / 49ers Color Rush</t>
  </si>
  <si>
    <t xml:space="preserve">Close game; no verified standardized complaint count</t>
  </si>
  <si>
    <t xml:space="preserve">2017-09-28</t>
  </si>
  <si>
    <t xml:space="preserve">CBS / NFL Network / Amazon Prime</t>
  </si>
  <si>
    <t xml:space="preserve">2017-10-05</t>
  </si>
  <si>
    <t xml:space="preserve">Patriots / Buccaneers Color Rush</t>
  </si>
  <si>
    <t xml:space="preserve">https://www.sportsmediawatch.com/?p=52567</t>
  </si>
  <si>
    <t xml:space="preserve">2017-10-12</t>
  </si>
  <si>
    <t xml:space="preserve">Eagles / Panthers Color Rush</t>
  </si>
  <si>
    <t xml:space="preserve">https://www.sportsmediawatch.com/2018/10/thursday-night-football-ratings-giants-eagles/</t>
  </si>
  <si>
    <t xml:space="preserve">Reported by comparison in a 2018 article.</t>
  </si>
  <si>
    <t xml:space="preserve">2017-10-19</t>
  </si>
  <si>
    <t xml:space="preserve">Chiefs / Raiders Color Rush</t>
  </si>
  <si>
    <t xml:space="preserve">2017-10-26</t>
  </si>
  <si>
    <t xml:space="preserve">Dolphins / Ravens Color Rush</t>
  </si>
  <si>
    <t xml:space="preserve">Blowout; no verified standardized complaint count</t>
  </si>
  <si>
    <t xml:space="preserve">https://www.sportsmediawatch.com/?p=53379</t>
  </si>
  <si>
    <t xml:space="preserve">Lowest-rated TNF game to that point (40-point blowout).</t>
  </si>
  <si>
    <t xml:space="preserve">2017-11-02</t>
  </si>
  <si>
    <t xml:space="preserve">Bills / Jets Color Rush</t>
  </si>
  <si>
    <t xml:space="preserve">Red-green matchup avoided after 2015 controversy; exact uniform combo should be confirmed</t>
  </si>
  <si>
    <t xml:space="preserve">2017-11-09</t>
  </si>
  <si>
    <t xml:space="preserve">NBC / NFL Network / Amazon Prime</t>
  </si>
  <si>
    <t xml:space="preserve">Seahawks / Cardinals Color Rush</t>
  </si>
  <si>
    <t xml:space="preserve">https://www.sportsmediawatch.com/?p=61359</t>
  </si>
  <si>
    <t xml:space="preserve">2017-11-16</t>
  </si>
  <si>
    <t xml:space="preserve">Pittsburgh Steelers</t>
  </si>
  <si>
    <t xml:space="preserve">Titans / Steelers Color Rush</t>
  </si>
  <si>
    <t xml:space="preserve">https://www.sportsmediawatch.com/?p=53929</t>
  </si>
  <si>
    <t xml:space="preserve">Streaming added 409K (Amazon, NBC/NFL digital).</t>
  </si>
  <si>
    <t xml:space="preserve">2017-11-23</t>
  </si>
  <si>
    <t xml:space="preserve">Washington Redskins</t>
  </si>
  <si>
    <t xml:space="preserve">FOX / NFL Network</t>
  </si>
  <si>
    <t xml:space="preserve">Giants / Washington alternate combination</t>
  </si>
  <si>
    <t xml:space="preserve">Thanksgiving; Washington did not wear the originally designed gold Color Rush set</t>
  </si>
  <si>
    <t xml:space="preserve">Thanksgiving night game on FOX; not a TNF simulcast. No sourced figure found.</t>
  </si>
  <si>
    <t xml:space="preserve">Thanksgiving: exempt from Color Rush per Wikipedia (2016 policy); not verified as a Color Rush game. Treat as non-treatment/control unless uniforms are verified.</t>
  </si>
  <si>
    <t xml:space="preserve">2017-11-30</t>
  </si>
  <si>
    <t xml:space="preserve">Washington / Cowboys Color Rush</t>
  </si>
  <si>
    <t xml:space="preserve">Washington's intended design was not used; code actual uniforms separately</t>
  </si>
  <si>
    <t xml:space="preserve">https://www.sportsmediawatch.com/?p=61628</t>
  </si>
  <si>
    <t xml:space="preserve">Reported by comparison in a 2018 article; network per that article is a TNF simulcast.</t>
  </si>
  <si>
    <t xml:space="preserve">Color Rush game; Washington declined the gold design and wore all-burgundy (Wikipedia).</t>
  </si>
  <si>
    <t xml:space="preserve">2017-12-07</t>
  </si>
  <si>
    <t xml:space="preserve">Saints / Falcons Color Rush</t>
  </si>
  <si>
    <t xml:space="preserve">https://www.sportsmediawatch.com/?p=54300</t>
  </si>
  <si>
    <t xml:space="preserve">2017-12-14</t>
  </si>
  <si>
    <t xml:space="preserve">Indianapolis Colts</t>
  </si>
  <si>
    <t xml:space="preserve">Broncos / Colts Color Rush</t>
  </si>
  <si>
    <t xml:space="preserve">Then among the lowest-rated broadcast primetime NFL games.</t>
  </si>
  <si>
    <t xml:space="preserve">metric</t>
  </si>
  <si>
    <t xml:space="preserve">scope_caveat</t>
  </si>
  <si>
    <t xml:space="preserve">TNF season opener: Broncos-Chiefs</t>
  </si>
  <si>
    <t xml:space="preserve">Single game; not Color Rush causal evidence</t>
  </si>
  <si>
    <t xml:space="preserve">https://www.nfl.com/news/thursday-night-football-sets-high-mark-for-viewership-ratings-0ap3000000533601</t>
  </si>
  <si>
    <t xml:space="preserve">TNF package average</t>
  </si>
  <si>
    <t xml:space="preserve">Package-wide average; not Color Rush-only</t>
  </si>
  <si>
    <t xml:space="preserve">https://www.sportsbusinessjournal.com/Daily/Issues/2017/12/29/Media/NFL-primetime/</t>
  </si>
  <si>
    <t xml:space="preserve">CBS five-game TNF average (TV)</t>
  </si>
  <si>
    <t xml:space="preserve">Package-wide; not Color Rush-only</t>
  </si>
  <si>
    <t xml:space="preserve">https://www.bangordailynews.com/2016/12/24/sports/nbc-ends-thursday-night-football-on-high-note/</t>
  </si>
  <si>
    <t xml:space="preserve">NBC five-game TNF average (TV-only)</t>
  </si>
  <si>
    <t xml:space="preserve">Package-wide; TAD incl. Twitter/digital was 17.4M</t>
  </si>
  <si>
    <t xml:space="preserve">NFL Network-exclusive games, rating/viewers range (3 games: Jaguars-Titans 5.1M, Browns-Ravens 5.7M, Falcons-Bucs ~5.8M; Dolphins-Bengals 7.9M)</t>
  </si>
  <si>
    <t xml:space="preserve">Game-level figures are on Game_Log_2015_2017; do not compare across networks without controls</t>
  </si>
  <si>
    <t xml:space="preserve">topic</t>
  </si>
  <si>
    <t xml:space="preserve">finding</t>
  </si>
  <si>
    <t xml:space="preserve">confidence</t>
  </si>
  <si>
    <t xml:space="preserve">Accessibility backlash</t>
  </si>
  <si>
    <t xml:space="preserve">2015 Bills-Jets red/green uniforms caused documented confusion for viewers with red-green color vision deficiency.</t>
  </si>
  <si>
    <t xml:space="preserve">High</t>
  </si>
  <si>
    <t xml:space="preserve">https://abcnews.com/Sports/blind-rush-nfls-color-rush-jerseys-problematic-colorblind/story?id=35169972</t>
  </si>
  <si>
    <t xml:space="preserve">NFL response</t>
  </si>
  <si>
    <t xml:space="preserve">NFL acknowledged a need to improve color-blind testing; later Bills-Jets matchup used adjusted uniforms.</t>
  </si>
  <si>
    <t xml:space="preserve">https://www.nfl.com/news/jets-bills-will-get-color-rush-do-over-in-week-2-0ap3000000653520</t>
  </si>
  <si>
    <t xml:space="preserve">Promotion ended</t>
  </si>
  <si>
    <t xml:space="preserve">Mandatory TNF Color Rush promotion ended after 2017; teams could keep wearing the designs as alternates.</t>
  </si>
  <si>
    <t xml:space="preserve">https://www.si.com/nfl/2018/09/14/what-happened-color-rush-uniforms-nfl-thursday-night</t>
  </si>
  <si>
    <t xml:space="preserve">Broadcast strategy</t>
  </si>
  <si>
    <t xml:space="preserve">FOX's TNF approach emphasized matchups and a new broadcast presentation; public reporting does not establish Color Rush as a direct cause of ratings decline.</t>
  </si>
  <si>
    <t xml:space="preserve">https://www.thescore.com/nfl/news/1524879/fox-scrapping-tnf-color-rush-working-to-improve-matchups</t>
  </si>
  <si>
    <t xml:space="preserve">Viewership trend</t>
  </si>
  <si>
    <t xml:space="preserve">TNF package average audience fell from 12.438M in 2016 to 10.937M in 2017 (about -12.1%). This is package-level context, not causal evidence.</t>
  </si>
  <si>
    <t xml:space="preserve">High for package totals</t>
  </si>
  <si>
    <t xml:space="preserve">Merchandise fundraising</t>
  </si>
  <si>
    <t xml:space="preserve">Seahawks/NFL team release stated NFL proceeds from Color Rush jersey sales went to the NFL Foundation; this is not a sales volume measure.</t>
  </si>
  <si>
    <t xml:space="preserve">High for stated policy</t>
  </si>
  <si>
    <t xml:space="preserve">https://www.seahawks.com/news/seattle-seahawks-unveil-action-green-color-rush-uniform-167051</t>
  </si>
  <si>
    <t xml:space="preserve">Merchandise sales gap</t>
  </si>
  <si>
    <t xml:space="preserve">No verified public game-by-game Color Rush unit sales/revenue series was found in the sources used for this workbook.</t>
  </si>
  <si>
    <t xml:space="preserve">High as research limitation</t>
  </si>
  <si>
    <t xml:space="preserve">https://nflpa.com/partners/posts/things-to-know-about-the-2025-year-end-nflpa-top-50-player-sales-list</t>
  </si>
  <si>
    <t xml:space="preserve">Player criticism</t>
  </si>
  <si>
    <t xml:space="preserve">Jaguars QB Blake Bortles publicly criticized the team's Color Rush uniforms; anecdotal, not representative survey data.</t>
  </si>
  <si>
    <t xml:space="preserve">High that reported; anecdotal</t>
  </si>
  <si>
    <t xml:space="preserve">https://www.foxsports.com/stories/other/blake-bortles-calls-jaguars-color-rush-uniforms-ugly-as-hell</t>
  </si>
  <si>
    <t xml:space="preserve">Game-level viewership</t>
  </si>
  <si>
    <t xml:space="preserve">Sourced Nielsen TV viewers and household ratings were added for 30 of 32 games (all except the 2015 Thanksgiving Panthers-Cowboys and 2017 Thanksgiving Giants-Washington games). Network matters: NFL Network-only games drew roughly 5-8M, simulcast games roughly 10-22M, so uniform effects cannot be read off raw viewership.</t>
  </si>
  <si>
    <t xml:space="preserve">Medium-High (secondary trade-press reporting of Nielsen)</t>
  </si>
  <si>
    <t xml:space="preserve">Data correction</t>
  </si>
  <si>
    <t xml:space="preserve">Cross-check against nflverse games.csv showed the original game log had home and away teams swapped on all 32 rows, the 2017-10-19 Chiefs-Raiders score reversed (Raiders won 31-30), and the 2017-11-30 Washington score wrong (14, not 6). These are corrected.</t>
  </si>
  <si>
    <t xml:space="preserve">High (two independent sources for 2015: AP and nflverse)</t>
  </si>
  <si>
    <t xml:space="preserve">https://raw.githubusercontent.com/nflverse/nfldata/master/data/games.csv</t>
  </si>
  <si>
    <t xml:space="preserve">Thanksgiving exemption</t>
  </si>
  <si>
    <t xml:space="preserve">Thanksgiving games were exempt from the Color Rush promotion from 2016, so the 2017-11-23 row is not a verified Color Rush game.</t>
  </si>
  <si>
    <t xml:space="preserve">Medium-High</t>
  </si>
  <si>
    <t xml:space="preserve">https://en.wikipedia.org/wiki/Color_Rush</t>
  </si>
  <si>
    <t xml:space="preserve">2016 uniform mitigation</t>
  </si>
  <si>
    <t xml:space="preserve">In 2016 Nike consulted doctors and the NFL avoided red-green, brown-purple, and yellow-green pairings by having one team wear white; many 2016 games therefore had one team in regular white.</t>
  </si>
  <si>
    <t xml:space="preserve">Medium-High (Wikipedia citing ESPN, LA Times)</t>
  </si>
  <si>
    <t xml:space="preserve">Broadcast executive view</t>
  </si>
  <si>
    <t xml:space="preserve">A Fox Sports programming executive reportedly called Color Rush a 'gimmick' not needed in 2018; reported secondhand via Barrett Sports Media and not confirmed by the NFL.</t>
  </si>
  <si>
    <t xml:space="preserve">Low-Medium (secondhand, unconfirmed)</t>
  </si>
  <si>
    <t xml:space="preserve">https://amp.awfulannouncing.com/nfl/the-nfl-is-reportedly-dumping-its-color-rush-uniforms-this-year.html</t>
  </si>
  <si>
    <t xml:space="preserve">NFL color-blindness consultation</t>
  </si>
  <si>
    <t xml:space="preserve">Before the 2016 opener the NFL said it consulted color-blindness experts so uniform combinations would be clearly distinguishable; the Jets wore mostly white against the red Bills.</t>
  </si>
  <si>
    <t xml:space="preserve">https://www.cbsnews.com/detroit/news/nfl-consults-with-colorblind-experts-on-color-rush-uniforms/</t>
  </si>
  <si>
    <t xml:space="preserve">Home-team color priority</t>
  </si>
  <si>
    <t xml:space="preserve">Reporting on the 2016 rollout said the home team chose its color first and an away team clashing with it wore white (or another color if the home color was white).</t>
  </si>
  <si>
    <t xml:space="preserve">Medium (pre-season reporting)</t>
  </si>
  <si>
    <t xml:space="preserve">https://www.cbssports.com/nfl/news/look-did-every-nfl-color-rush-uniform-just-get-leaked</t>
  </si>
  <si>
    <t xml:space="preserve">On-air broadcaster criticism</t>
  </si>
  <si>
    <t xml:space="preserve">Al Michaels publicly criticized the Color Rush uniforms in a 2016 HBO interview, including that he could not see numbers in the 49ers-Cardinals game. One documented case; not a systematic count.</t>
  </si>
  <si>
    <t xml:space="preserve">https://awfulannouncing.com/2016/al-michaels-is-no-fan-of-thursday-night-football-especially-nfls-caca-color-rush.html</t>
  </si>
  <si>
    <t xml:space="preserve">Fox ended the promotion</t>
  </si>
  <si>
    <t xml:space="preserve">Fox Sports' Bill Wanger told Barrett Sports Media on April 10, 2018 that Color Rush would not be on Thursday Night Football; the NFL's Mike Garafolo said teams could keep them as alternates.</t>
  </si>
  <si>
    <t xml:space="preserve">High (April 10, 2018 reports)</t>
  </si>
  <si>
    <t xml:space="preserve">https://www.thescore.com/news/1524879</t>
  </si>
  <si>
    <t xml:space="preserve">publisher</t>
  </si>
  <si>
    <t xml:space="preserve">source_topic</t>
  </si>
  <si>
    <t xml:space="preserve">url</t>
  </si>
  <si>
    <t xml:space="preserve">2015 Color Rush game archive</t>
  </si>
  <si>
    <t xml:space="preserve">2016 Color Rush game archive</t>
  </si>
  <si>
    <t xml:space="preserve">2017 Color Rush game archive</t>
  </si>
  <si>
    <t xml:space="preserve">NFL.com</t>
  </si>
  <si>
    <t xml:space="preserve">2017 Color Rush uniform gallery</t>
  </si>
  <si>
    <t xml:space="preserve">https://www.nfl.com/photos/2017-nfl-color-rush-0ap3000000844763</t>
  </si>
  <si>
    <t xml:space="preserve">Sports Illustrated</t>
  </si>
  <si>
    <t xml:space="preserve">2017 TNF schedule and Color Rush uniforms</t>
  </si>
  <si>
    <t xml:space="preserve">https://www.si.com/nfl/2017/09/14/nfl-color-rush-uniforms-jerseys-thursday-night-football</t>
  </si>
  <si>
    <t xml:space="preserve">ABC News</t>
  </si>
  <si>
    <t xml:space="preserve">2015 colorblind accessibility complaints</t>
  </si>
  <si>
    <t xml:space="preserve">NFL response to Bills-Jets uniform issue</t>
  </si>
  <si>
    <t xml:space="preserve">Sports Business Journal</t>
  </si>
  <si>
    <t xml:space="preserve">TNF audience trend</t>
  </si>
  <si>
    <t xml:space="preserve">theScore</t>
  </si>
  <si>
    <t xml:space="preserve">FOX decision and broadcast strategy</t>
  </si>
  <si>
    <t xml:space="preserve">Color Rush jersey proceeds policy</t>
  </si>
  <si>
    <t xml:space="preserve">FOX Sports</t>
  </si>
  <si>
    <t xml:space="preserve">Blake Bortles reaction</t>
  </si>
  <si>
    <t xml:space="preserve">nflverse</t>
  </si>
  <si>
    <t xml:space="preserve">Game results (home/away, scores, dates) used to verify the game log</t>
  </si>
  <si>
    <t xml:space="preserve">Sports Media Watch</t>
  </si>
  <si>
    <t xml:space="preserve">TNF final ratings and viewership articles (2015-2018)</t>
  </si>
  <si>
    <t xml:space="preserve">https://www.sportsmediawatch.com/</t>
  </si>
  <si>
    <t xml:space="preserve">NBC Sports Group PR</t>
  </si>
  <si>
    <t xml:space="preserve">2016 NBC/NFL Network TNF audience releases</t>
  </si>
  <si>
    <t xml:space="preserve">Associated Press (via CBS Detroit)</t>
  </si>
  <si>
    <t xml:space="preserve">2015 Color Rush game schedule and uniform colors</t>
  </si>
  <si>
    <t xml:space="preserve">https://www.cbsnews.com/detroit/news/bright-and-bold-bills-jets-wearing-color-rush-uniforms</t>
  </si>
  <si>
    <t xml:space="preserve">NPR</t>
  </si>
  <si>
    <t xml:space="preserve">2015 colorblind complaints and NFL statement</t>
  </si>
  <si>
    <t xml:space="preserve">https://www.npr.org/sections/thetwo-way/2015/11/13/455896618/nfls-red-and-green-uniforms-described-as-torture-by-colorblind-fans</t>
  </si>
  <si>
    <t xml:space="preserve">Wikipedia</t>
  </si>
  <si>
    <t xml:space="preserve">NFL Color Rush overview (uniform facts; secondary source)</t>
  </si>
  <si>
    <t xml:space="preserve">Awful Announcing</t>
  </si>
  <si>
    <t xml:space="preserve">Report on Fox executive's 'gimmick' comment</t>
  </si>
  <si>
    <t xml:space="preserve">NFL Operations</t>
  </si>
  <si>
    <t xml:space="preserve">2016 Color Rush game schedule (away at home)</t>
  </si>
  <si>
    <t xml:space="preserve">https://operations.nfl.com/updates/the-game/nfl-and-nike-unveil-2016-color-rush-uniforms</t>
  </si>
  <si>
    <t xml:space="preserve">ESPN via ABC7</t>
  </si>
  <si>
    <t xml:space="preserve">2017 Bills-Jets uniforms (Jets green, Bills white)</t>
  </si>
  <si>
    <t xml:space="preserve">https://abc7ny.com/2596929</t>
  </si>
  <si>
    <t xml:space="preserve">Al Michaels on Color Rush (2016)</t>
  </si>
  <si>
    <t xml:space="preserve">SportsLogos.net</t>
  </si>
  <si>
    <t xml:space="preserve">2016 Color Rush unveil, team-by-team</t>
  </si>
  <si>
    <t xml:space="preserve">https://news.sportslogos.net/2016/09/13/all-32-nfl-teams-unveil-color-rush-uniforms/football/</t>
  </si>
  <si>
    <t xml:space="preserve">April 10, 2018 report on Color Rush ending</t>
  </si>
  <si>
    <t xml:space="preserve">record_id</t>
  </si>
  <si>
    <t xml:space="preserve">record_type</t>
  </si>
  <si>
    <t xml:space="preserve">platform</t>
  </si>
  <si>
    <t xml:space="preserve">created_utc</t>
  </si>
  <si>
    <t xml:space="preserve">subreddit</t>
  </si>
  <si>
    <t xml:space="preserve">thread_id</t>
  </si>
  <si>
    <t xml:space="preserve">game_id</t>
  </si>
  <si>
    <t xml:space="preserve">retrospective_flag</t>
  </si>
  <si>
    <t xml:space="preserve">search_query</t>
  </si>
  <si>
    <t xml:space="preserve">relevance</t>
  </si>
  <si>
    <t xml:space="preserve">sentiment</t>
  </si>
  <si>
    <t xml:space="preserve">aesthetic_dislike</t>
  </si>
  <si>
    <t xml:space="preserve">accessibility_concern</t>
  </si>
  <si>
    <t xml:space="preserve">explicit_colorblind_reference</t>
  </si>
  <si>
    <t xml:space="preserve">broadcast_complaint</t>
  </si>
  <si>
    <t xml:space="preserve">merchandise_opinion</t>
  </si>
  <si>
    <t xml:space="preserve">program_cancellation_opinion</t>
  </si>
  <si>
    <t xml:space="preserve">criticism_target</t>
  </si>
  <si>
    <t xml:space="preserve">evidence_excerpt</t>
  </si>
  <si>
    <t xml:space="preserve">duplicate_flag</t>
  </si>
  <si>
    <t xml:space="preserve">double_coded</t>
  </si>
  <si>
    <t xml:space="preserve">coder_id</t>
  </si>
  <si>
    <t xml:space="preserve">coding_confidence</t>
  </si>
  <si>
    <t xml:space="preserve">notes</t>
  </si>
  <si>
    <t xml:space="preserve">pilot_stratum</t>
  </si>
  <si>
    <t xml:space="preserve">query_id</t>
  </si>
  <si>
    <t xml:space="preserve">date_run</t>
  </si>
  <si>
    <t xml:space="preserve">source</t>
  </si>
  <si>
    <t xml:space="preserve">exact_query</t>
  </si>
  <si>
    <t xml:space="preserve">subreddit_filter</t>
  </si>
  <si>
    <t xml:space="preserve">date_range_filter</t>
  </si>
  <si>
    <t xml:space="preserve">results_returned</t>
  </si>
  <si>
    <t xml:space="preserve">records_reviewed</t>
  </si>
  <si>
    <t xml:space="preserve">records_included</t>
  </si>
  <si>
    <t xml:space="preserve">coder_1_id</t>
  </si>
  <si>
    <t xml:space="preserve">coder_2_id</t>
  </si>
  <si>
    <t xml:space="preserve">sentiment_1</t>
  </si>
  <si>
    <t xml:space="preserve">sentiment_2</t>
  </si>
  <si>
    <t xml:space="preserve">accessibility_concern_1</t>
  </si>
  <si>
    <t xml:space="preserve">accessibility_concern_2</t>
  </si>
  <si>
    <t xml:space="preserve">Research question</t>
  </si>
  <si>
    <t xml:space="preserve">How did Reddit users react to Color Rush uniforms in 2015-2017, and how much of the criticism concerned accessibility vs. aesthetics?</t>
  </si>
  <si>
    <t xml:space="preserve">Window</t>
  </si>
  <si>
    <t xml:space="preserve">2015-09-01 to 2017-12-31. Later retrospective posts are allowed only with retrospective_flag = 1 and analyzed separately.</t>
  </si>
  <si>
    <t xml:space="preserve">Sources</t>
  </si>
  <si>
    <t xml:space="preserve">Reddit search (current results only), Arctic Shift (archived submissions/comments), Wayback Machine. Archive coverage is incomplete: log every query, source, and run date on Search_Log. Missing posts are not evidence that fans did not care.</t>
  </si>
  <si>
    <t xml:space="preserve">Search terms</t>
  </si>
  <si>
    <t xml:space="preserve">Program: "Color Rush", "Color Rush uniforms", "Thursday Night Football uniforms". Accessibility: colorblind, colourblind, "color blind", "red green". Dislike: "ugly uniforms", "worst uniforms", jerseys. Teams: "all red", "all green", "Jets Bills uniforms". Broadcast: "Color Rush" broadcast / announcer / TV. Terms like "Bills Jets" are noisy: confirm relevance manually. Run each query separately and save it exactly.</t>
  </si>
  <si>
    <t xml:space="preserve">Include</t>
  </si>
  <si>
    <t xml:space="preserve">Discusses Color Rush uniforms, their look, visibility, or the program; mentions colorblindness or difficulty telling teams apart; criticizes design or broadcast presentation as it relates to Color Rush; inside the window (or retrospective, flagged).</t>
  </si>
  <si>
    <t xml:space="preserve">Exclude</t>
  </si>
  <si>
    <t xml:space="preserve">Unrelated team-uniform talk; duplicate copies; bots/spam/uninterpretable text; pure game talk with no uniform or broadcast content. Excluded records may be logged with relevance = exclude, or counted on Search_Log.</t>
  </si>
  <si>
    <t xml:space="preserve">Unit of analysis</t>
  </si>
  <si>
    <t xml:space="preserve">One row per unique comment. Submissions are record_type = submission and analyzed separately so one popular thread is not counted as one comment. Report both comment counts and distinct-thread counts.</t>
  </si>
  <si>
    <t xml:space="preserve">Coding rules</t>
  </si>
  <si>
    <t xml:space="preserve">Theme flags are independent 0/1 (a comment can be both aesthetic_dislike and accessibility_concern). accessibility_concern = 1 for a stated difficulty telling teams apart or a colorblindness complaint. explicit_colorblind_reference = 1 only if the person explicitly mentions colorblindness or CVD; never infer it. Keep ambiguous rows as relevance = uncertain / coding_confidence = low rather than forcing a category.</t>
  </si>
  <si>
    <t xml:space="preserve">Coding examples (hypothetical)</t>
  </si>
  <si>
    <t xml:space="preserve">"Those jerseys are ugly." -&gt; negative, aesthetic 1, accessibility 0. "I can't tell the red and green teams apart on TV." -&gt; negative, accessibility 1, explicit_colorblind 0. "I'm colorblind, and the Bills-Jets game was impossible to follow." -&gt; negative, accessibility 1, explicit_colorblind 1. "The bright uniforms look great under the lights." -&gt; positive, all flags 0.</t>
  </si>
  <si>
    <t xml:space="preserve">Use IDs from Accessibility_Audit (G01-G32, in game-log order) so sentiment joins to the audit. Leave blank if the game is not identifiable.</t>
  </si>
  <si>
    <t xml:space="preserve">Pilot first</t>
  </si>
  <si>
    <t xml:space="preserve">Collect 50-100 relevant comments first. Check that queries retrieve useful material, categories work, and accessibility complaints appear often enough to analyze. Then expand under the same fixed rules.</t>
  </si>
  <si>
    <t xml:space="preserve">Reliability</t>
  </si>
  <si>
    <t xml:space="preserve">A second coder independently codes ~10% of records (at least 50 if the sample allows). Record both sets on Reliability_Check and compute agreement (e.g., Cohen's kappa) separately for sentiment and accessibility_concern.</t>
  </si>
  <si>
    <t xml:space="preserve">Analysis</t>
  </si>
  <si>
    <t xml:space="preserve">Descriptive first: sentiment shares; accessibility vs. aesthetic share of relevant comments; by game, team pairing, season; distinct threads with accessibility concerns; whether the 2015 Bills-Jets game drew a disproportionate share. Reddit users are self-selected and a few viral threads can dominate, so do not read counts as the share of all NFL fans.</t>
  </si>
  <si>
    <t xml:space="preserve">Privacy</t>
  </si>
  <si>
    <t xml:space="preserve">Do not store usernames. Keep only the minimum excerpt needed to justify a code, and follow Reddit's terms. The original design's post_id_hash column was replaced by record_id/thread_id; if you need dedup keys, hash on your own.</t>
  </si>
  <si>
    <t xml:space="preserve">Interpretation limit</t>
  </si>
  <si>
    <t xml:space="preserve">Fans disliking the uniforms, some viewers reporting accessibility problems, and the NFL changing its Color Rush strategy are separate findings. This dataset does not establish that one caused another.</t>
  </si>
  <si>
    <t xml:space="preserve">Pilot sampling</t>
  </si>
  <si>
    <t xml:space="preserve">Stages: (1) search test of 8-12 queries logged on Search_Log; (2) collect 50-100 relevant 2015-2017 comments across multiple games; (3) flag duplicates and cross-posts; (4) code all eligible records; (5) second coder on 10-20 records; (6) evaluate noisy queries, missing games, and hard-to-separate categories. Sample in three strata (pilot_stratum): A_bills_jets_2015, B_other_games, C_general_program, so the Bills-Jets controversy cannot stand in for broad sentiment. Cap eligible comments per thread (Pilot_Tally!B5). Record denominators (retrieved, excluded, duplicated, coded) on Pilot_Tally. Stratum targets and the cap are proposals; adjust before collecting and do not change them mid-pilot.</t>
  </si>
  <si>
    <t xml:space="preserve">Pilot sampling and denominators</t>
  </si>
  <si>
    <t xml:space="preserve">Yellow cells are inputs (proposed pilot settings; change as needed). Everything else is computed from Sentiment_Coding, Search_Log and Reliability_Check.</t>
  </si>
  <si>
    <t xml:space="preserve">Pilot setting</t>
  </si>
  <si>
    <t xml:space="preserve">Value</t>
  </si>
  <si>
    <t xml:space="preserve">Note</t>
  </si>
  <si>
    <t xml:space="preserve">Max eligible comments per thread</t>
  </si>
  <si>
    <t xml:space="preserve">Proposed cap so one viral thread cannot dominate; extra comments from a capped thread are not coded.</t>
  </si>
  <si>
    <t xml:space="preserve">Pilot size, minimum</t>
  </si>
  <si>
    <t xml:space="preserve">Pilot size, maximum</t>
  </si>
  <si>
    <t xml:space="preserve">Search test queries, minimum</t>
  </si>
  <si>
    <t xml:space="preserve">Search test queries, maximum</t>
  </si>
  <si>
    <t xml:space="preserve">Reliability subset, minimum</t>
  </si>
  <si>
    <t xml:space="preserve">Reliability subset, maximum</t>
  </si>
  <si>
    <t xml:space="preserve">Denominators</t>
  </si>
  <si>
    <t xml:space="preserve">Count</t>
  </si>
  <si>
    <t xml:space="preserve">Queries logged</t>
  </si>
  <si>
    <t xml:space="preserve">Records logged</t>
  </si>
  <si>
    <t xml:space="preserve">Excluded as irrelevant</t>
  </si>
  <si>
    <t xml:space="preserve">Uncertain relevance</t>
  </si>
  <si>
    <t xml:space="preserve">Resolve before analysis</t>
  </si>
  <si>
    <t xml:space="preserve">Duplicates flagged</t>
  </si>
  <si>
    <t xml:space="preserve">Eligible coded records</t>
  </si>
  <si>
    <t xml:space="preserve">Distinct threads among eligible</t>
  </si>
  <si>
    <t xml:space="preserve">Largest eligible comments in one thread</t>
  </si>
  <si>
    <t xml:space="preserve">Records in reliability subset</t>
  </si>
  <si>
    <t xml:space="preserve">Stratum</t>
  </si>
  <si>
    <t xml:space="preserve">Target eligible comments</t>
  </si>
  <si>
    <t xml:space="preserve">Eligible comments</t>
  </si>
  <si>
    <t xml:space="preserve">Distinct threads</t>
  </si>
  <si>
    <t xml:space="preserve">Share with accessibility_concern</t>
  </si>
  <si>
    <t xml:space="preserve">Share with aesthetic_dislike</t>
  </si>
  <si>
    <t xml:space="preserve">Status</t>
  </si>
  <si>
    <t xml:space="preserve">A_bills_jets_2015</t>
  </si>
  <si>
    <t xml:space="preserve">B_other_games</t>
  </si>
  <si>
    <t xml:space="preserve">C_general_program</t>
  </si>
  <si>
    <t xml:space="preserve">Total</t>
  </si>
  <si>
    <t xml:space="preserve">Stratum targets are proposed (A: Bills-Jets 2015, B: other Color Rush games 2015-2017, C: general program discussion). Eligible records with no stratum are not counted in rows 25-27.</t>
  </si>
  <si>
    <t xml:space="preserve">Pilot-size checks, thread cap and stratum shares are for pilot evaluation only. Shares from a pilot sample are not estimates of fan opinion.</t>
  </si>
  <si>
    <t xml:space="preserve">team</t>
  </si>
  <si>
    <t xml:space="preserve">player</t>
  </si>
  <si>
    <t xml:space="preserve">product_name</t>
  </si>
  <si>
    <t xml:space="preserve">retailer</t>
  </si>
  <si>
    <t xml:space="preserve">listed_price_usd</t>
  </si>
  <si>
    <t xml:space="preserve">sales_rank</t>
  </si>
  <si>
    <t xml:space="preserve">rank_source</t>
  </si>
  <si>
    <t xml:space="preserve">units_sold</t>
  </si>
  <si>
    <t xml:space="preserve">revenue_usd</t>
  </si>
  <si>
    <t xml:space="preserve">stock_status</t>
  </si>
  <si>
    <t xml:space="preserve">archived_url</t>
  </si>
  <si>
    <t xml:space="preserve">quality_notes</t>
  </si>
  <si>
    <t xml:space="preserve">game</t>
  </si>
  <si>
    <t xml:space="preserve">broadcaster</t>
  </si>
  <si>
    <t xml:space="preserve">quote_or_summary</t>
  </si>
  <si>
    <t xml:space="preserve">criticism_type</t>
  </si>
  <si>
    <t xml:space="preserve">direct_quote</t>
  </si>
  <si>
    <t xml:space="preserve">2018-04-10</t>
  </si>
  <si>
    <t xml:space="preserve">Program-level, post-2017</t>
  </si>
  <si>
    <t xml:space="preserve">Fox Sports (programming executive Bill Wanger, reported by Jason Barrett)</t>
  </si>
  <si>
    <t xml:space="preserve">Reportedly called the Color Rush uniforms a 'gimmick' that would not be needed to attract viewers in 2018.</t>
  </si>
  <si>
    <t xml:space="preserve">Program criticism (network executive, not an on-air announcer)</t>
  </si>
  <si>
    <t xml:space="preserve">negative</t>
  </si>
  <si>
    <t xml:space="preserve">'gimmick' (reported single word)</t>
  </si>
  <si>
    <t xml:space="preserve">Reported by Barrett Sports Media; NFL Network's Mike Garafolo noted the uniforms might remain as non-Thursday alternates. Not an on-air announcer.</t>
  </si>
  <si>
    <t xml:space="preserve">2016 (fall; exact air date not shown in source)</t>
  </si>
  <si>
    <t xml:space="preserve">2016-10-06 49ers-Cardinals (referenced)</t>
  </si>
  <si>
    <t xml:space="preserve">Al Michaels (NBC play-by-play), on HBO's Any Given Wednesday</t>
  </si>
  <si>
    <t xml:space="preserve">Criticized the Color Rush uniforms as a poor idea for Thursday games, saying he could not see the players' numbers in the 49ers-Cardinals game.</t>
  </si>
  <si>
    <t xml:space="preserve">On-air personality: uniform visibility and program criticism</t>
  </si>
  <si>
    <t xml:space="preserve">Color Rush uniforms? Excuse me?</t>
  </si>
  <si>
    <t xml:space="preserve">Spoken in an interview, not during a broadcast. Tied to one game only loosely; counted once in the game log.</t>
  </si>
  <si>
    <t xml:space="preserve">uniform_verified</t>
  </si>
  <si>
    <t xml:space="preserve">home_uniform_desc</t>
  </si>
  <si>
    <t xml:space="preserve">away_uniform_desc</t>
  </si>
  <si>
    <t xml:space="preserve">home_jersey_hex</t>
  </si>
  <si>
    <t xml:space="preserve">away_jersey_hex</t>
  </si>
  <si>
    <t xml:space="preserve">field_color</t>
  </si>
  <si>
    <t xml:space="preserve">normal_contrast_score</t>
  </si>
  <si>
    <t xml:space="preserve">deuteranopia_contrast_score</t>
  </si>
  <si>
    <t xml:space="preserve">protanopia_contrast_score</t>
  </si>
  <si>
    <t xml:space="preserve">lowest_cvd_score</t>
  </si>
  <si>
    <t xml:space="preserve">conflict_flag</t>
  </si>
  <si>
    <t xml:space="preserve">dE_normal</t>
  </si>
  <si>
    <t xml:space="preserve">dE_deuteranopia</t>
  </si>
  <si>
    <t xml:space="preserve">dE_protanopia</t>
  </si>
  <si>
    <t xml:space="preserve">score_confidence</t>
  </si>
  <si>
    <t xml:space="preserve">uniform_source_url</t>
  </si>
  <si>
    <t xml:space="preserve">method_or_simulator</t>
  </si>
  <si>
    <t xml:space="preserve">reviewer</t>
  </si>
  <si>
    <t xml:space="preserve">auditor_notes</t>
  </si>
  <si>
    <t xml:space="preserve">G01</t>
  </si>
  <si>
    <t xml:space="preserve">yes</t>
  </si>
  <si>
    <t xml:space="preserve">Jets: Kelly green jersey, pants, socks and shoes; green chrome helmet logo/facemask</t>
  </si>
  <si>
    <t xml:space="preserve">Bills: scarlet red jersey, sleeves, pants, socks and shoes</t>
  </si>
  <si>
    <t xml:space="preserve">Documented red-green problem; NFL later acknowledged its TV test missed color blindness (NPR).</t>
  </si>
  <si>
    <t xml:space="preserve">G02</t>
  </si>
  <si>
    <t xml:space="preserve">Jaguars: all gold</t>
  </si>
  <si>
    <t xml:space="preserve">Titans: Titans blue (regular alternate)</t>
  </si>
  <si>
    <t xml:space="preserve">G03</t>
  </si>
  <si>
    <t xml:space="preserve">Cowboys: white 'Double Star' retro with white pants</t>
  </si>
  <si>
    <t xml:space="preserve">Panthers: Panthers blue (regular alternate, new Carolina blue pants)</t>
  </si>
  <si>
    <t xml:space="preserve">https://www.cbsnews.com/detroit/news/bright-and-bold-bills-jets-wearing-color-rush-uniforms ; https://en.wikipedia.org/wiki/Color_Rush</t>
  </si>
  <si>
    <t xml:space="preserve">G04</t>
  </si>
  <si>
    <t xml:space="preserve">Rams: yellow-gold version of 1973-99 throwback</t>
  </si>
  <si>
    <t xml:space="preserve">Buccaneers: all red</t>
  </si>
  <si>
    <t xml:space="preserve">G05</t>
  </si>
  <si>
    <t xml:space="preserve">Bills: all red</t>
  </si>
  <si>
    <t xml:space="preserve">Jets: mostly white uniform</t>
  </si>
  <si>
    <t xml:space="preserve">AP: NFL said it consulted color-blindness experts; Jets wore mostly white after the 2015 red-green complaints.</t>
  </si>
  <si>
    <t xml:space="preserve">G06</t>
  </si>
  <si>
    <t xml:space="preserve">partial</t>
  </si>
  <si>
    <t xml:space="preserve">Patriots: Color Rush (color not confirmed in sources reviewed)</t>
  </si>
  <si>
    <t xml:space="preserve">Texans: regular white, solid white socks</t>
  </si>
  <si>
    <t xml:space="preserve">G07</t>
  </si>
  <si>
    <t xml:space="preserve">Bengals: white Color Rush</t>
  </si>
  <si>
    <t xml:space="preserve">Dolphins: not described in sources reviewed</t>
  </si>
  <si>
    <t xml:space="preserve">G08</t>
  </si>
  <si>
    <t xml:space="preserve">49ers: Color Rush (existing alternate uniform)</t>
  </si>
  <si>
    <t xml:space="preserve">Cardinals: regular white</t>
  </si>
  <si>
    <t xml:space="preserve">G09</t>
  </si>
  <si>
    <t xml:space="preserve">G10</t>
  </si>
  <si>
    <t xml:space="preserve">Packers: all-white (home)</t>
  </si>
  <si>
    <t xml:space="preserve">Bears: blue jersey with blue pants</t>
  </si>
  <si>
    <t xml:space="preserve">G11</t>
  </si>
  <si>
    <t xml:space="preserve">Titans: head-to-toe light blue</t>
  </si>
  <si>
    <t xml:space="preserve">Jaguars: not described in sources reviewed</t>
  </si>
  <si>
    <t xml:space="preserve">https://www.tennesseetitans.com/news/titans-host-nfl-color-rush-game-oct-27-vs-jaguars-17676054</t>
  </si>
  <si>
    <t xml:space="preserve">G12</t>
  </si>
  <si>
    <t xml:space="preserve">Buccaneers: Color Rush (2015 all-red design; not re-verified)</t>
  </si>
  <si>
    <t xml:space="preserve">Falcons: regular white</t>
  </si>
  <si>
    <t xml:space="preserve">G13</t>
  </si>
  <si>
    <t xml:space="preserve">Ravens: Color Rush (not described in sources reviewed)</t>
  </si>
  <si>
    <t xml:space="preserve">Browns: regular white (brown-purple pairing avoided)</t>
  </si>
  <si>
    <t xml:space="preserve">G14</t>
  </si>
  <si>
    <t xml:space="preserve">Panthers: Color Rush (Panthers blue; not re-verified)</t>
  </si>
  <si>
    <t xml:space="preserve">Saints: white</t>
  </si>
  <si>
    <t xml:space="preserve">G15</t>
  </si>
  <si>
    <t xml:space="preserve">Vikings: Color Rush (not described in sources reviewed)</t>
  </si>
  <si>
    <t xml:space="preserve">Cowboys: white</t>
  </si>
  <si>
    <t xml:space="preserve">G16</t>
  </si>
  <si>
    <t xml:space="preserve">Chiefs: regular all-red set with red shoes</t>
  </si>
  <si>
    <t xml:space="preserve">Raiders: all-black alternate</t>
  </si>
  <si>
    <t xml:space="preserve">G17</t>
  </si>
  <si>
    <t xml:space="preserve">Seahawks: Color Rush (not described in sources reviewed)</t>
  </si>
  <si>
    <t xml:space="preserve">Rams: regular white with white horns (yellow-green pairing avoided)</t>
  </si>
  <si>
    <t xml:space="preserve">G18</t>
  </si>
  <si>
    <t xml:space="preserve">Eagles: existing alternate uniform</t>
  </si>
  <si>
    <t xml:space="preserve">Giants: all-white</t>
  </si>
  <si>
    <t xml:space="preserve">G19</t>
  </si>
  <si>
    <t xml:space="preserve">Texans: not described in sources reviewed</t>
  </si>
  <si>
    <t xml:space="preserve">G20</t>
  </si>
  <si>
    <t xml:space="preserve">G21</t>
  </si>
  <si>
    <t xml:space="preserve">G22</t>
  </si>
  <si>
    <t xml:space="preserve">Buccaneers: not described in sources reviewed</t>
  </si>
  <si>
    <t xml:space="preserve">Patriots: regular away jersey with white pants and socks (one-time combination)</t>
  </si>
  <si>
    <t xml:space="preserve">G23</t>
  </si>
  <si>
    <t xml:space="preserve">G24</t>
  </si>
  <si>
    <t xml:space="preserve">G25</t>
  </si>
  <si>
    <t xml:space="preserve">G26</t>
  </si>
  <si>
    <t xml:space="preserve">Jets: all green</t>
  </si>
  <si>
    <t xml:space="preserve">Bills: all white</t>
  </si>
  <si>
    <t xml:space="preserve">Red-green pairing avoided (ESPN, Nov 2, 2017).</t>
  </si>
  <si>
    <t xml:space="preserve">G27</t>
  </si>
  <si>
    <t xml:space="preserve">G28</t>
  </si>
  <si>
    <t xml:space="preserve">G29</t>
  </si>
  <si>
    <t xml:space="preserve">no</t>
  </si>
  <si>
    <t xml:space="preserve">Washington: not verified</t>
  </si>
  <si>
    <t xml:space="preserve">Giants: not verified</t>
  </si>
  <si>
    <t xml:space="preserve">Thanksgiving: exempt from Color Rush per Wikipedia. Do not score as Color Rush without verified uniforms.</t>
  </si>
  <si>
    <t xml:space="preserve">G30</t>
  </si>
  <si>
    <t xml:space="preserve">Cowboys: white (Color Rush is white; not re-verified for this game)</t>
  </si>
  <si>
    <t xml:space="preserve">Washington: all-burgundy, not the gold Color Rush design</t>
  </si>
  <si>
    <t xml:space="preserve">G31</t>
  </si>
  <si>
    <t xml:space="preserve">Falcons: not described in sources reviewed</t>
  </si>
  <si>
    <t xml:space="preserve">G32</t>
  </si>
  <si>
    <t xml:space="preserve">Purpose</t>
  </si>
  <si>
    <t xml:space="preserve">Systematic, repeatable accessibility measure for every Color Rush-era game, so the project does not rely only on the documented 2015 Bills-Jets anecdote.</t>
  </si>
  <si>
    <t xml:space="preserve">Legend</t>
  </si>
  <si>
    <t xml:space="preserve">Light-yellow cells on Accessibility_Audit are inputs. Columns A-E are fixed/linked to Game_Log_2015_2017 (row order must match). lowest_cvd_score and conflict_flag are formulas. Blank means not audited, not zero.</t>
  </si>
  <si>
    <t xml:space="preserve">Score 1 - Very poor</t>
  </si>
  <si>
    <t xml:space="preserve">Teams are hard to tell apart in the simulated view; color gives little useful separation.</t>
  </si>
  <si>
    <t xml:space="preserve">Score 2 - Poor</t>
  </si>
  <si>
    <t xml:space="preserve">Noticeable confusion risk, especially for small figures or fast plays.</t>
  </si>
  <si>
    <t xml:space="preserve">Score 3 - Moderate</t>
  </si>
  <si>
    <t xml:space="preserve">Generally distinguishable, but some combinations or viewing conditions may cause difficulty.</t>
  </si>
  <si>
    <t xml:space="preserve">Score 4 - Good</t>
  </si>
  <si>
    <t xml:space="preserve">Distinguishable through meaningful brightness, hue, or design differences.</t>
  </si>
  <si>
    <t xml:space="preserve">Score 5 - Excellent</t>
  </si>
  <si>
    <t xml:space="preserve">Strong distinction in both simulations, including differences beyond color alone (e.g., light vs. dark).</t>
  </si>
  <si>
    <t xml:space="preserve">Primary predictor</t>
  </si>
  <si>
    <t xml:space="preserve">lowest_cvd_score = MIN(deuteranopia, protanopia). conflict_flag = 1 when lowest_cvd_score &lt;= 2 (provisional cutoff; test sensitivity at &lt;=3). Keep individual scores to test by simulation type.</t>
  </si>
  <si>
    <t xml:space="preserve">Calibration anchor</t>
  </si>
  <si>
    <t xml:space="preserve">The 2015 Bills (red) vs. Jets (green) game is the documented red-green problem (ABC News; NFL response). The rubric should score it low (1-2) under deuteranopia/protanopia. If it scores 3+, revise the rubric before scoring other games.</t>
  </si>
  <si>
    <t xml:space="preserve">Procedure</t>
  </si>
  <si>
    <t xml:space="preserve">1) Verify uniforms actually worn (uniform_verified = yes/partial/no; unverified rows stay blank). 2) Use comparable game or official images, same lighting where possible. 3) Run both through a CVD simulator (deuteranopia, protanopia) and record the tool in method_or_simulator. 4) Score normal, deuteranopia, protanopia independently. 5) Record source URL, confidence, and rationale.</t>
  </si>
  <si>
    <t xml:space="preserve">Objective cross-check</t>
  </si>
  <si>
    <t xml:space="preserve">cvd_separation.py (delivered with this workbook) takes jersey hex colors, simulates deuteranopia/protanopia (Machado et al. 2009, severity 1.0) and writes CIE76 color distance (dE) into dE_* columns. Use it to sanity-check human scores; dE is not a substitute for them and ignores pants, helmets, numbers, field markings, and lighting. No dE cutoffs are validated here: calibrate against the anchor game.</t>
  </si>
  <si>
    <t xml:space="preserve">Reviewer reliability</t>
  </si>
  <si>
    <t xml:space="preserve">If possible, have a second reviewer score a random subset (e.g., 10 games) blind and report agreement (e.g., weighted kappa).</t>
  </si>
  <si>
    <t xml:space="preserve">Ordinal research measure, not a clinical or accessibility standard. Stills cannot capture live-play lighting, camera angle, motion, or field markings. A low score indicates potential visual-separation risk, not proof of complaints or that the NFL ended Color Rush because of it; that link needs the sentiment and historical-decision evidence.</t>
  </si>
  <si>
    <t xml:space="preserve">kickoff_window</t>
  </si>
  <si>
    <t xml:space="preserve">color_rush_flag</t>
  </si>
  <si>
    <t xml:space="preserve">team_strength_proxy</t>
  </si>
  <si>
    <t xml:space="preserve">star_absences</t>
  </si>
  <si>
    <t xml:space="preserve">market_proxy</t>
  </si>
  <si>
    <t xml:space="preserve">2015-09-17</t>
  </si>
  <si>
    <t xml:space="preserve">CBS + NFL Network</t>
  </si>
  <si>
    <t xml:space="preserve">Thursday night</t>
  </si>
  <si>
    <t xml:space="preserve">No</t>
  </si>
  <si>
    <t xml:space="preserve">Season opener (21.1M); special-event outlier. Candidate only: team-strength, star-absence and market fields not yet filled.</t>
  </si>
  <si>
    <t xml:space="preserve">2015-09-24</t>
  </si>
  <si>
    <t xml:space="preserve">Second CBS simulcast of 2015 (rating 10.5). Candidate only: team-strength, star-absence and market fields not yet filled.</t>
  </si>
  <si>
    <t xml:space="preserve">2015-10-08</t>
  </si>
  <si>
    <t xml:space="preserve">Fourth CBS simulcast of 2015 (rating 9.5). Candidate only: team-strength, star-absence and market fields not yet filled.</t>
  </si>
  <si>
    <t xml:space="preserve">2015-10-15</t>
  </si>
  <si>
    <t xml:space="preserve">Fifth CBS simulcast of 2015 (rating 9.3). Candidate only: team-strength, star-absence and market fields not yet filled.</t>
  </si>
  <si>
    <t xml:space="preserve">2015-11-05</t>
  </si>
  <si>
    <t xml:space="preserve">First NFL Network-exclusive 2015 game (rating 5.5); closest control for Color Rush NFLN games. Candidate only: team-strength, star-absence and market fields not yet filled.</t>
  </si>
</sst>
</file>

<file path=xl/styles.xml><?xml version="1.0" encoding="utf-8"?>
<styleSheet xmlns="http://schemas.openxmlformats.org/spreadsheetml/2006/main">
  <numFmts count="2">
    <numFmt numFmtId="164" formatCode="General"/>
    <numFmt numFmtId="165" formatCode="0.0%"/>
  </numFmts>
  <fonts count="7">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
      <b val="true"/>
      <sz val="13"/>
      <name val="Cambria"/>
      <family val="0"/>
      <charset val="1"/>
    </font>
    <font>
      <b val="true"/>
      <sz val="11"/>
      <name val="Cambria"/>
      <family val="0"/>
      <charset val="1"/>
    </font>
  </fonts>
  <fills count="4">
    <fill>
      <patternFill patternType="none"/>
    </fill>
    <fill>
      <patternFill patternType="gray125"/>
    </fill>
    <fill>
      <patternFill patternType="solid">
        <fgColor rgb="FF123B5D"/>
        <bgColor rgb="FF333333"/>
      </patternFill>
    </fill>
    <fill>
      <patternFill patternType="solid">
        <fgColor rgb="FFFFF9E5"/>
        <bgColor rgb="FFFFFF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bottom" textRotation="0" wrapText="tru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0" fillId="3" borderId="0" xfId="0" applyFont="true" applyBorder="false" applyAlignment="true" applyProtection="false">
      <alignment horizontal="general" vertical="bottom" textRotation="0" wrapText="false" indent="0" shrinkToFit="false"/>
      <protection locked="true" hidden="false"/>
    </xf>
    <xf numFmtId="164" fontId="0" fillId="3"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23B5D"/>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F9E5"/>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9E5"/>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23B5D"/>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11.xml.rels><?xml version="1.0" encoding="UTF-8"?>
<Relationships xmlns="http://schemas.openxmlformats.org/package/2006/relationships"><Relationship Id="rId1" Type="http://schemas.openxmlformats.org/officeDocument/2006/relationships/drawing" Target="../drawings/drawing7.xml"/>
</Relationships>
</file>

<file path=xl/worksheets/_rels/sheet12.xml.rels><?xml version="1.0" encoding="UTF-8"?>
<Relationships xmlns="http://schemas.openxmlformats.org/package/2006/relationships"><Relationship Id="rId1" Type="http://schemas.openxmlformats.org/officeDocument/2006/relationships/drawing" Target="../drawings/drawing8.xml"/>
</Relationships>
</file>

<file path=xl/worksheets/_rels/sheet13.xml.rels><?xml version="1.0" encoding="UTF-8"?>
<Relationships xmlns="http://schemas.openxmlformats.org/package/2006/relationships"><Relationship Id="rId1" Type="http://schemas.openxmlformats.org/officeDocument/2006/relationships/drawing" Target="../drawings/drawing9.xml"/>
</Relationships>
</file>

<file path=xl/worksheets/_rels/sheet15.xml.rels><?xml version="1.0" encoding="UTF-8"?>
<Relationships xmlns="http://schemas.openxmlformats.org/package/2006/relationships"><Relationship Id="rId1" Type="http://schemas.openxmlformats.org/officeDocument/2006/relationships/drawing" Target="../drawings/drawing10.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7"/>
    <col collapsed="false" customWidth="true" hidden="false" outlineLevel="0" max="2" min="2" style="1" width="40"/>
  </cols>
  <sheetData>
    <row r="1" customFormat="false" ht="15" hidden="false" customHeight="true" outlineLevel="0" collapsed="false">
      <c r="A1" s="2" t="s">
        <v>0</v>
      </c>
      <c r="B1" s="2" t="s">
        <v>1</v>
      </c>
    </row>
    <row r="2" customFormat="false" ht="41.25" hidden="false" customHeight="true" outlineLevel="0" collapsed="false">
      <c r="A2" s="3" t="s">
        <v>2</v>
      </c>
      <c r="B2" s="3" t="s">
        <v>3</v>
      </c>
    </row>
    <row r="3" customFormat="false" ht="81.75" hidden="false" customHeight="true" outlineLevel="0" collapsed="false">
      <c r="A3" s="3" t="s">
        <v>4</v>
      </c>
      <c r="B3" s="3" t="s">
        <v>5</v>
      </c>
    </row>
    <row r="4" customFormat="false" ht="81.75" hidden="false" customHeight="true" outlineLevel="0" collapsed="false">
      <c r="A4" s="3" t="s">
        <v>6</v>
      </c>
      <c r="B4" s="3" t="s">
        <v>7</v>
      </c>
    </row>
    <row r="5" customFormat="false" ht="41.25" hidden="false" customHeight="true" outlineLevel="0" collapsed="false">
      <c r="A5" s="3" t="s">
        <v>8</v>
      </c>
      <c r="B5" s="3" t="s">
        <v>9</v>
      </c>
    </row>
    <row r="6" customFormat="false" ht="68.25" hidden="false" customHeight="true" outlineLevel="0" collapsed="false">
      <c r="A6" s="3" t="s">
        <v>10</v>
      </c>
      <c r="B6" s="3" t="s">
        <v>11</v>
      </c>
    </row>
    <row r="7" customFormat="false" ht="95.25" hidden="false" customHeight="true" outlineLevel="0" collapsed="false">
      <c r="A7" s="3" t="s">
        <v>12</v>
      </c>
      <c r="B7" s="3" t="s">
        <v>13</v>
      </c>
    </row>
    <row r="8" customFormat="false" ht="68.25" hidden="false" customHeight="true" outlineLevel="0" collapsed="false">
      <c r="A8" s="3" t="s">
        <v>14</v>
      </c>
      <c r="B8" s="3" t="s">
        <v>15</v>
      </c>
    </row>
    <row r="9" customFormat="false" ht="81.75" hidden="false" customHeight="true" outlineLevel="0" collapsed="false">
      <c r="A9" s="3" t="s">
        <v>16</v>
      </c>
      <c r="B9" s="3" t="s">
        <v>17</v>
      </c>
    </row>
    <row r="10" customFormat="false" ht="68.25" hidden="false" customHeight="true" outlineLevel="0" collapsed="false">
      <c r="A10" s="3" t="s">
        <v>18</v>
      </c>
      <c r="B10" s="3" t="s">
        <v>19</v>
      </c>
    </row>
    <row r="11" customFormat="false" ht="81.75" hidden="false" customHeight="true" outlineLevel="0" collapsed="false">
      <c r="A11" s="3" t="s">
        <v>20</v>
      </c>
      <c r="B11" s="3" t="s">
        <v>21</v>
      </c>
    </row>
  </sheetData>
  <autoFilter ref="A1:B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3" min="1" style="1" width="12"/>
    <col collapsed="false" customWidth="true" hidden="false" outlineLevel="0" max="5" min="4" style="1" width="22"/>
    <col collapsed="false" customWidth="true" hidden="false" outlineLevel="0" max="7" min="6" style="1" width="12"/>
    <col collapsed="false" customWidth="true" hidden="false" outlineLevel="0" max="8" min="8" style="1" width="34"/>
    <col collapsed="false" customWidth="true" hidden="false" outlineLevel="0" max="12" min="9" style="1" width="40"/>
    <col collapsed="false" customWidth="true" hidden="false" outlineLevel="0" max="14" min="13" style="1" width="18"/>
    <col collapsed="false" customWidth="true" hidden="false" outlineLevel="0" max="15" min="15" style="1" width="28"/>
    <col collapsed="false" customWidth="true" hidden="false" outlineLevel="0" max="16" min="16" style="1" width="24"/>
    <col collapsed="false" customWidth="true" hidden="false" outlineLevel="0" max="17" min="17" style="1" width="21"/>
    <col collapsed="false" customWidth="true" hidden="false" outlineLevel="0" max="18" min="18" style="1" width="22"/>
    <col collapsed="false" customWidth="true" hidden="false" outlineLevel="0" max="19" min="19" style="1" width="27"/>
    <col collapsed="false" customWidth="true" hidden="false" outlineLevel="0" max="20" min="20" style="1" width="40"/>
    <col collapsed="false" customWidth="true" hidden="false" outlineLevel="0" max="21" min="21" style="1" width="14"/>
    <col collapsed="false" customWidth="true" hidden="false" outlineLevel="0" max="22" min="22" style="1" width="28"/>
    <col collapsed="false" customWidth="true" hidden="false" outlineLevel="0" max="23" min="23" style="1" width="12"/>
    <col collapsed="false" customWidth="true" hidden="false" outlineLevel="0" max="24" min="24" style="1" width="48"/>
    <col collapsed="false" customWidth="true" hidden="false" outlineLevel="0" max="25" min="25" style="1" width="40"/>
  </cols>
  <sheetData>
    <row r="1" customFormat="false" ht="27.75" hidden="false" customHeight="true" outlineLevel="0" collapsed="false">
      <c r="A1" s="2" t="s">
        <v>22</v>
      </c>
      <c r="B1" s="2" t="s">
        <v>23</v>
      </c>
      <c r="C1" s="2" t="s">
        <v>24</v>
      </c>
      <c r="D1" s="2" t="s">
        <v>25</v>
      </c>
      <c r="E1" s="2" t="s">
        <v>26</v>
      </c>
      <c r="F1" s="2" t="s">
        <v>27</v>
      </c>
      <c r="G1" s="2" t="s">
        <v>28</v>
      </c>
      <c r="H1" s="2" t="s">
        <v>29</v>
      </c>
      <c r="I1" s="2" t="s">
        <v>30</v>
      </c>
      <c r="J1" s="2" t="s">
        <v>31</v>
      </c>
      <c r="K1" s="2" t="s">
        <v>32</v>
      </c>
      <c r="L1" s="2" t="s">
        <v>33</v>
      </c>
      <c r="M1" s="2" t="s">
        <v>34</v>
      </c>
      <c r="N1" s="2" t="s">
        <v>35</v>
      </c>
      <c r="O1" s="2" t="s">
        <v>36</v>
      </c>
      <c r="P1" s="2" t="s">
        <v>37</v>
      </c>
      <c r="Q1" s="2" t="s">
        <v>38</v>
      </c>
      <c r="R1" s="2" t="s">
        <v>39</v>
      </c>
      <c r="S1" s="2" t="s">
        <v>40</v>
      </c>
      <c r="T1" s="2" t="s">
        <v>41</v>
      </c>
      <c r="U1" s="2" t="s">
        <v>42</v>
      </c>
      <c r="V1" s="4" t="s">
        <v>43</v>
      </c>
      <c r="W1" s="4" t="s">
        <v>44</v>
      </c>
      <c r="X1" s="4" t="s">
        <v>45</v>
      </c>
      <c r="Y1" s="4" t="s">
        <v>46</v>
      </c>
    </row>
    <row r="2" customFormat="false" ht="41.25" hidden="false" customHeight="true" outlineLevel="0" collapsed="false">
      <c r="A2" s="3" t="s">
        <v>47</v>
      </c>
      <c r="B2" s="3" t="n">
        <v>2015</v>
      </c>
      <c r="C2" s="3" t="n">
        <v>10</v>
      </c>
      <c r="D2" s="3" t="s">
        <v>48</v>
      </c>
      <c r="E2" s="3" t="s">
        <v>49</v>
      </c>
      <c r="F2" s="3" t="n">
        <v>17</v>
      </c>
      <c r="G2" s="3" t="n">
        <v>22</v>
      </c>
      <c r="H2" s="3" t="s">
        <v>50</v>
      </c>
      <c r="I2" s="3" t="s">
        <v>51</v>
      </c>
      <c r="J2" s="3" t="s">
        <v>52</v>
      </c>
      <c r="K2" s="3" t="s">
        <v>53</v>
      </c>
      <c r="L2" s="3" t="s">
        <v>54</v>
      </c>
      <c r="M2" s="3" t="n">
        <v>7.6</v>
      </c>
      <c r="N2" s="3" t="n">
        <v>4.8</v>
      </c>
      <c r="O2" s="3" t="s">
        <v>55</v>
      </c>
      <c r="P2" s="3"/>
      <c r="Q2" s="3"/>
      <c r="R2" s="3"/>
      <c r="S2" s="3"/>
      <c r="T2" s="3" t="s">
        <v>56</v>
      </c>
      <c r="U2" s="3" t="n">
        <v>5</v>
      </c>
      <c r="V2" s="1" t="s">
        <v>57</v>
      </c>
      <c r="X2" s="1" t="s">
        <v>58</v>
      </c>
      <c r="Y2" s="1" t="s">
        <v>59</v>
      </c>
    </row>
    <row r="3" customFormat="false" ht="41.25" hidden="false" customHeight="true" outlineLevel="0" collapsed="false">
      <c r="A3" s="3" t="s">
        <v>60</v>
      </c>
      <c r="B3" s="3" t="n">
        <v>2015</v>
      </c>
      <c r="C3" s="3" t="n">
        <v>11</v>
      </c>
      <c r="D3" s="3" t="s">
        <v>61</v>
      </c>
      <c r="E3" s="3" t="s">
        <v>62</v>
      </c>
      <c r="F3" s="3" t="n">
        <v>19</v>
      </c>
      <c r="G3" s="3" t="n">
        <v>13</v>
      </c>
      <c r="H3" s="3" t="s">
        <v>50</v>
      </c>
      <c r="I3" s="3" t="s">
        <v>63</v>
      </c>
      <c r="J3" s="3" t="s">
        <v>64</v>
      </c>
      <c r="K3" s="3" t="s">
        <v>65</v>
      </c>
      <c r="L3" s="3" t="s">
        <v>54</v>
      </c>
      <c r="M3" s="3" t="n">
        <v>6.6</v>
      </c>
      <c r="N3" s="3" t="n">
        <v>4.2</v>
      </c>
      <c r="O3" s="3" t="s">
        <v>66</v>
      </c>
      <c r="P3" s="3"/>
      <c r="Q3" s="3"/>
      <c r="R3" s="3"/>
      <c r="S3" s="3"/>
      <c r="T3" s="3" t="s">
        <v>56</v>
      </c>
      <c r="U3" s="3" t="n">
        <v>6</v>
      </c>
      <c r="V3" s="1" t="s">
        <v>57</v>
      </c>
      <c r="Y3" s="1" t="s">
        <v>59</v>
      </c>
    </row>
    <row r="4" customFormat="false" ht="41.25" hidden="false" customHeight="true" outlineLevel="0" collapsed="false">
      <c r="A4" s="3" t="s">
        <v>67</v>
      </c>
      <c r="B4" s="3" t="n">
        <v>2015</v>
      </c>
      <c r="C4" s="3" t="n">
        <v>12</v>
      </c>
      <c r="D4" s="3" t="s">
        <v>68</v>
      </c>
      <c r="E4" s="3" t="s">
        <v>69</v>
      </c>
      <c r="F4" s="3" t="n">
        <v>14</v>
      </c>
      <c r="G4" s="3" t="n">
        <v>33</v>
      </c>
      <c r="H4" s="3" t="s">
        <v>70</v>
      </c>
      <c r="I4" s="3" t="s">
        <v>71</v>
      </c>
      <c r="J4" s="3" t="s">
        <v>72</v>
      </c>
      <c r="K4" s="3" t="s">
        <v>65</v>
      </c>
      <c r="L4" s="3" t="s">
        <v>54</v>
      </c>
      <c r="M4" s="3"/>
      <c r="N4" s="3"/>
      <c r="O4" s="3"/>
      <c r="P4" s="3"/>
      <c r="Q4" s="3"/>
      <c r="R4" s="3"/>
      <c r="S4" s="3"/>
      <c r="T4" s="3" t="s">
        <v>73</v>
      </c>
      <c r="U4" s="3" t="n">
        <v>19</v>
      </c>
      <c r="X4" s="1" t="s">
        <v>74</v>
      </c>
      <c r="Y4" s="1" t="s">
        <v>59</v>
      </c>
    </row>
    <row r="5" customFormat="false" ht="41.25" hidden="false" customHeight="true" outlineLevel="0" collapsed="false">
      <c r="A5" s="3" t="s">
        <v>75</v>
      </c>
      <c r="B5" s="3" t="n">
        <v>2015</v>
      </c>
      <c r="C5" s="3" t="n">
        <v>15</v>
      </c>
      <c r="D5" s="3" t="s">
        <v>76</v>
      </c>
      <c r="E5" s="3" t="s">
        <v>77</v>
      </c>
      <c r="F5" s="3" t="n">
        <v>31</v>
      </c>
      <c r="G5" s="3" t="n">
        <v>23</v>
      </c>
      <c r="H5" s="3" t="s">
        <v>50</v>
      </c>
      <c r="I5" s="3" t="s">
        <v>78</v>
      </c>
      <c r="J5" s="3" t="s">
        <v>79</v>
      </c>
      <c r="K5" s="3" t="s">
        <v>65</v>
      </c>
      <c r="L5" s="3" t="s">
        <v>54</v>
      </c>
      <c r="M5" s="3" t="n">
        <v>6</v>
      </c>
      <c r="N5" s="3" t="n">
        <v>3.8</v>
      </c>
      <c r="O5" s="3" t="s">
        <v>80</v>
      </c>
      <c r="P5" s="3"/>
      <c r="Q5" s="3"/>
      <c r="R5" s="3"/>
      <c r="S5" s="3"/>
      <c r="T5" s="3" t="s">
        <v>56</v>
      </c>
      <c r="U5" s="3" t="n">
        <v>8</v>
      </c>
      <c r="V5" s="1" t="s">
        <v>57</v>
      </c>
      <c r="Y5" s="1" t="s">
        <v>59</v>
      </c>
    </row>
    <row r="6" customFormat="false" ht="41.25" hidden="false" customHeight="true" outlineLevel="0" collapsed="false">
      <c r="A6" s="3" t="s">
        <v>81</v>
      </c>
      <c r="B6" s="3" t="n">
        <v>2016</v>
      </c>
      <c r="C6" s="3" t="n">
        <v>2</v>
      </c>
      <c r="D6" s="3" t="s">
        <v>49</v>
      </c>
      <c r="E6" s="3" t="s">
        <v>48</v>
      </c>
      <c r="F6" s="3" t="n">
        <v>31</v>
      </c>
      <c r="G6" s="3" t="n">
        <v>37</v>
      </c>
      <c r="H6" s="3" t="s">
        <v>82</v>
      </c>
      <c r="I6" s="3" t="s">
        <v>83</v>
      </c>
      <c r="J6" s="3" t="s">
        <v>84</v>
      </c>
      <c r="K6" s="3" t="s">
        <v>85</v>
      </c>
      <c r="L6" s="3" t="s">
        <v>86</v>
      </c>
      <c r="M6" s="3" t="n">
        <v>15.4</v>
      </c>
      <c r="N6" s="3" t="n">
        <v>9.5</v>
      </c>
      <c r="O6" s="3" t="s">
        <v>87</v>
      </c>
      <c r="P6" s="3"/>
      <c r="Q6" s="3"/>
      <c r="R6" s="3"/>
      <c r="S6" s="3"/>
      <c r="T6" s="3" t="s">
        <v>56</v>
      </c>
      <c r="U6" s="3" t="n">
        <v>6</v>
      </c>
      <c r="V6" s="1" t="s">
        <v>88</v>
      </c>
      <c r="W6" s="1" t="n">
        <v>15.7</v>
      </c>
      <c r="X6" s="1" t="s">
        <v>89</v>
      </c>
      <c r="Y6" s="1" t="s">
        <v>59</v>
      </c>
    </row>
    <row r="7" customFormat="false" ht="41.25" hidden="false" customHeight="true" outlineLevel="0" collapsed="false">
      <c r="A7" s="3" t="s">
        <v>90</v>
      </c>
      <c r="B7" s="3" t="n">
        <v>2016</v>
      </c>
      <c r="C7" s="3" t="n">
        <v>3</v>
      </c>
      <c r="D7" s="3" t="s">
        <v>91</v>
      </c>
      <c r="E7" s="3" t="s">
        <v>92</v>
      </c>
      <c r="F7" s="3" t="n">
        <v>27</v>
      </c>
      <c r="G7" s="3" t="n">
        <v>0</v>
      </c>
      <c r="H7" s="3" t="s">
        <v>82</v>
      </c>
      <c r="I7" s="3" t="s">
        <v>93</v>
      </c>
      <c r="J7" s="3" t="s">
        <v>64</v>
      </c>
      <c r="K7" s="3" t="s">
        <v>65</v>
      </c>
      <c r="L7" s="3" t="s">
        <v>86</v>
      </c>
      <c r="M7" s="3" t="n">
        <v>17.5</v>
      </c>
      <c r="N7" s="3" t="n">
        <v>10.6</v>
      </c>
      <c r="O7" s="3" t="s">
        <v>55</v>
      </c>
      <c r="P7" s="3"/>
      <c r="Q7" s="3"/>
      <c r="R7" s="3"/>
      <c r="S7" s="3"/>
      <c r="T7" s="3" t="s">
        <v>56</v>
      </c>
      <c r="U7" s="3" t="n">
        <v>27</v>
      </c>
      <c r="V7" s="1" t="s">
        <v>88</v>
      </c>
      <c r="X7" s="1" t="s">
        <v>58</v>
      </c>
      <c r="Y7" s="1" t="s">
        <v>59</v>
      </c>
    </row>
    <row r="8" customFormat="false" ht="41.25" hidden="false" customHeight="true" outlineLevel="0" collapsed="false">
      <c r="A8" s="3" t="s">
        <v>94</v>
      </c>
      <c r="B8" s="3" t="n">
        <v>2016</v>
      </c>
      <c r="C8" s="3" t="n">
        <v>4</v>
      </c>
      <c r="D8" s="3" t="s">
        <v>95</v>
      </c>
      <c r="E8" s="3" t="s">
        <v>96</v>
      </c>
      <c r="F8" s="3" t="n">
        <v>22</v>
      </c>
      <c r="G8" s="3" t="n">
        <v>7</v>
      </c>
      <c r="H8" s="3" t="s">
        <v>50</v>
      </c>
      <c r="I8" s="3" t="s">
        <v>97</v>
      </c>
      <c r="J8" s="3" t="s">
        <v>64</v>
      </c>
      <c r="K8" s="3" t="s">
        <v>65</v>
      </c>
      <c r="L8" s="3" t="s">
        <v>86</v>
      </c>
      <c r="M8" s="3" t="n">
        <v>7.9</v>
      </c>
      <c r="N8" s="3" t="n">
        <v>4.8</v>
      </c>
      <c r="O8" s="3" t="s">
        <v>98</v>
      </c>
      <c r="P8" s="3"/>
      <c r="Q8" s="3"/>
      <c r="R8" s="3"/>
      <c r="S8" s="3"/>
      <c r="T8" s="3" t="s">
        <v>56</v>
      </c>
      <c r="U8" s="3" t="n">
        <v>15</v>
      </c>
      <c r="V8" s="1" t="s">
        <v>57</v>
      </c>
      <c r="W8" s="1" t="n">
        <v>8</v>
      </c>
      <c r="X8" s="1" t="s">
        <v>99</v>
      </c>
      <c r="Y8" s="1" t="s">
        <v>59</v>
      </c>
    </row>
    <row r="9" customFormat="false" ht="41.25" hidden="false" customHeight="true" outlineLevel="0" collapsed="false">
      <c r="A9" s="3" t="s">
        <v>100</v>
      </c>
      <c r="B9" s="3" t="n">
        <v>2016</v>
      </c>
      <c r="C9" s="3" t="n">
        <v>5</v>
      </c>
      <c r="D9" s="3" t="s">
        <v>101</v>
      </c>
      <c r="E9" s="3" t="s">
        <v>102</v>
      </c>
      <c r="F9" s="3" t="n">
        <v>21</v>
      </c>
      <c r="G9" s="3" t="n">
        <v>33</v>
      </c>
      <c r="H9" s="3" t="s">
        <v>82</v>
      </c>
      <c r="I9" s="3" t="s">
        <v>103</v>
      </c>
      <c r="J9" s="3" t="s">
        <v>64</v>
      </c>
      <c r="K9" s="3" t="s">
        <v>65</v>
      </c>
      <c r="L9" s="3" t="s">
        <v>86</v>
      </c>
      <c r="M9" s="3" t="n">
        <v>12.1</v>
      </c>
      <c r="N9" s="3" t="n">
        <v>7.4</v>
      </c>
      <c r="O9" s="3" t="s">
        <v>104</v>
      </c>
      <c r="P9" s="3"/>
      <c r="Q9" s="3"/>
      <c r="R9" s="3"/>
      <c r="S9" s="3" t="n">
        <v>1</v>
      </c>
      <c r="T9" s="3" t="s">
        <v>56</v>
      </c>
      <c r="U9" s="3" t="n">
        <v>12</v>
      </c>
      <c r="V9" s="1" t="s">
        <v>88</v>
      </c>
      <c r="X9" s="1" t="s">
        <v>105</v>
      </c>
      <c r="Y9" s="1" t="s">
        <v>59</v>
      </c>
    </row>
    <row r="10" customFormat="false" ht="41.25" hidden="false" customHeight="true" outlineLevel="0" collapsed="false">
      <c r="A10" s="3" t="s">
        <v>106</v>
      </c>
      <c r="B10" s="3" t="n">
        <v>2016</v>
      </c>
      <c r="C10" s="3" t="n">
        <v>6</v>
      </c>
      <c r="D10" s="3" t="s">
        <v>107</v>
      </c>
      <c r="E10" s="3" t="s">
        <v>108</v>
      </c>
      <c r="F10" s="3" t="n">
        <v>21</v>
      </c>
      <c r="G10" s="3" t="n">
        <v>13</v>
      </c>
      <c r="H10" s="3" t="s">
        <v>82</v>
      </c>
      <c r="I10" s="3" t="s">
        <v>109</v>
      </c>
      <c r="J10" s="3" t="s">
        <v>64</v>
      </c>
      <c r="K10" s="3" t="s">
        <v>65</v>
      </c>
      <c r="L10" s="3" t="s">
        <v>86</v>
      </c>
      <c r="M10" s="3" t="n">
        <v>14.5</v>
      </c>
      <c r="N10" s="3" t="n">
        <v>8.7</v>
      </c>
      <c r="O10" s="3" t="s">
        <v>110</v>
      </c>
      <c r="P10" s="3"/>
      <c r="Q10" s="3"/>
      <c r="R10" s="3"/>
      <c r="S10" s="3"/>
      <c r="T10" s="3" t="s">
        <v>56</v>
      </c>
      <c r="U10" s="3" t="n">
        <v>8</v>
      </c>
      <c r="V10" s="1" t="s">
        <v>88</v>
      </c>
      <c r="X10" s="1" t="s">
        <v>111</v>
      </c>
      <c r="Y10" s="1" t="s">
        <v>59</v>
      </c>
    </row>
    <row r="11" customFormat="false" ht="41.25" hidden="false" customHeight="true" outlineLevel="0" collapsed="false">
      <c r="A11" s="3" t="s">
        <v>112</v>
      </c>
      <c r="B11" s="3" t="n">
        <v>2016</v>
      </c>
      <c r="C11" s="3" t="n">
        <v>7</v>
      </c>
      <c r="D11" s="3" t="s">
        <v>113</v>
      </c>
      <c r="E11" s="3" t="s">
        <v>114</v>
      </c>
      <c r="F11" s="3" t="n">
        <v>26</v>
      </c>
      <c r="G11" s="3" t="n">
        <v>10</v>
      </c>
      <c r="H11" s="3" t="s">
        <v>82</v>
      </c>
      <c r="I11" s="3" t="s">
        <v>115</v>
      </c>
      <c r="J11" s="3" t="s">
        <v>64</v>
      </c>
      <c r="K11" s="3" t="s">
        <v>65</v>
      </c>
      <c r="L11" s="3" t="s">
        <v>86</v>
      </c>
      <c r="M11" s="3" t="n">
        <v>14.2</v>
      </c>
      <c r="N11" s="3" t="n">
        <v>8.6</v>
      </c>
      <c r="O11" s="3" t="s">
        <v>116</v>
      </c>
      <c r="P11" s="3"/>
      <c r="Q11" s="3"/>
      <c r="R11" s="3"/>
      <c r="S11" s="3"/>
      <c r="T11" s="3" t="s">
        <v>56</v>
      </c>
      <c r="U11" s="3" t="n">
        <v>16</v>
      </c>
      <c r="V11" s="1" t="s">
        <v>88</v>
      </c>
      <c r="X11" s="1" t="s">
        <v>58</v>
      </c>
      <c r="Y11" s="1" t="s">
        <v>59</v>
      </c>
    </row>
    <row r="12" customFormat="false" ht="41.25" hidden="false" customHeight="true" outlineLevel="0" collapsed="false">
      <c r="A12" s="3" t="s">
        <v>117</v>
      </c>
      <c r="B12" s="3" t="n">
        <v>2016</v>
      </c>
      <c r="C12" s="3" t="n">
        <v>8</v>
      </c>
      <c r="D12" s="3" t="s">
        <v>62</v>
      </c>
      <c r="E12" s="3" t="s">
        <v>61</v>
      </c>
      <c r="F12" s="3" t="n">
        <v>36</v>
      </c>
      <c r="G12" s="3" t="n">
        <v>22</v>
      </c>
      <c r="H12" s="3" t="s">
        <v>50</v>
      </c>
      <c r="I12" s="3" t="s">
        <v>118</v>
      </c>
      <c r="J12" s="3" t="s">
        <v>64</v>
      </c>
      <c r="K12" s="3" t="s">
        <v>65</v>
      </c>
      <c r="L12" s="3" t="s">
        <v>86</v>
      </c>
      <c r="M12" s="3" t="n">
        <v>5.1</v>
      </c>
      <c r="N12" s="3" t="n">
        <v>3.2</v>
      </c>
      <c r="O12" s="3" t="s">
        <v>119</v>
      </c>
      <c r="P12" s="3"/>
      <c r="Q12" s="3"/>
      <c r="R12" s="3"/>
      <c r="S12" s="3"/>
      <c r="T12" s="3" t="s">
        <v>56</v>
      </c>
      <c r="U12" s="3" t="n">
        <v>14</v>
      </c>
      <c r="V12" s="1" t="s">
        <v>57</v>
      </c>
      <c r="X12" s="1" t="s">
        <v>120</v>
      </c>
      <c r="Y12" s="1" t="s">
        <v>59</v>
      </c>
    </row>
    <row r="13" customFormat="false" ht="41.25" hidden="false" customHeight="true" outlineLevel="0" collapsed="false">
      <c r="A13" s="3" t="s">
        <v>121</v>
      </c>
      <c r="B13" s="3" t="n">
        <v>2016</v>
      </c>
      <c r="C13" s="3" t="n">
        <v>9</v>
      </c>
      <c r="D13" s="3" t="s">
        <v>77</v>
      </c>
      <c r="E13" s="3" t="s">
        <v>122</v>
      </c>
      <c r="F13" s="3" t="n">
        <v>28</v>
      </c>
      <c r="G13" s="3" t="n">
        <v>43</v>
      </c>
      <c r="H13" s="3" t="s">
        <v>50</v>
      </c>
      <c r="I13" s="3" t="s">
        <v>123</v>
      </c>
      <c r="J13" s="3" t="s">
        <v>64</v>
      </c>
      <c r="K13" s="3" t="s">
        <v>65</v>
      </c>
      <c r="L13" s="3" t="s">
        <v>86</v>
      </c>
      <c r="M13" s="3" t="n">
        <v>5.844</v>
      </c>
      <c r="N13" s="3" t="n">
        <v>3.6</v>
      </c>
      <c r="O13" s="3" t="s">
        <v>124</v>
      </c>
      <c r="P13" s="3"/>
      <c r="Q13" s="3"/>
      <c r="R13" s="3"/>
      <c r="S13" s="3"/>
      <c r="T13" s="3" t="s">
        <v>56</v>
      </c>
      <c r="U13" s="3" t="n">
        <v>15</v>
      </c>
      <c r="V13" s="1" t="s">
        <v>57</v>
      </c>
      <c r="X13" s="1" t="s">
        <v>125</v>
      </c>
      <c r="Y13" s="1" t="s">
        <v>59</v>
      </c>
    </row>
    <row r="14" customFormat="false" ht="41.25" hidden="false" customHeight="true" outlineLevel="0" collapsed="false">
      <c r="A14" s="3" t="s">
        <v>126</v>
      </c>
      <c r="B14" s="3" t="n">
        <v>2016</v>
      </c>
      <c r="C14" s="3" t="n">
        <v>10</v>
      </c>
      <c r="D14" s="3" t="s">
        <v>127</v>
      </c>
      <c r="E14" s="3" t="s">
        <v>128</v>
      </c>
      <c r="F14" s="3" t="n">
        <v>28</v>
      </c>
      <c r="G14" s="3" t="n">
        <v>7</v>
      </c>
      <c r="H14" s="3" t="s">
        <v>50</v>
      </c>
      <c r="I14" s="3" t="s">
        <v>129</v>
      </c>
      <c r="J14" s="3" t="s">
        <v>64</v>
      </c>
      <c r="K14" s="3" t="s">
        <v>65</v>
      </c>
      <c r="L14" s="3" t="s">
        <v>86</v>
      </c>
      <c r="M14" s="3" t="n">
        <v>5.7</v>
      </c>
      <c r="N14" s="3" t="n">
        <v>3.5</v>
      </c>
      <c r="O14" s="3" t="s">
        <v>130</v>
      </c>
      <c r="P14" s="3"/>
      <c r="Q14" s="3"/>
      <c r="R14" s="3"/>
      <c r="S14" s="3"/>
      <c r="T14" s="3" t="s">
        <v>56</v>
      </c>
      <c r="U14" s="3" t="n">
        <v>21</v>
      </c>
      <c r="V14" s="1" t="s">
        <v>57</v>
      </c>
      <c r="Y14" s="1" t="s">
        <v>59</v>
      </c>
    </row>
    <row r="15" customFormat="false" ht="41.25" hidden="false" customHeight="true" outlineLevel="0" collapsed="false">
      <c r="A15" s="3" t="s">
        <v>131</v>
      </c>
      <c r="B15" s="3" t="n">
        <v>2016</v>
      </c>
      <c r="C15" s="3" t="n">
        <v>11</v>
      </c>
      <c r="D15" s="3" t="s">
        <v>69</v>
      </c>
      <c r="E15" s="3" t="s">
        <v>132</v>
      </c>
      <c r="F15" s="3" t="n">
        <v>23</v>
      </c>
      <c r="G15" s="3" t="n">
        <v>20</v>
      </c>
      <c r="H15" s="3" t="s">
        <v>133</v>
      </c>
      <c r="I15" s="3" t="s">
        <v>134</v>
      </c>
      <c r="J15" s="3" t="s">
        <v>64</v>
      </c>
      <c r="K15" s="3" t="s">
        <v>65</v>
      </c>
      <c r="L15" s="3" t="s">
        <v>86</v>
      </c>
      <c r="M15" s="3" t="n">
        <v>13.3</v>
      </c>
      <c r="N15" s="3" t="n">
        <v>8.1</v>
      </c>
      <c r="O15" s="3" t="s">
        <v>135</v>
      </c>
      <c r="P15" s="3"/>
      <c r="Q15" s="3"/>
      <c r="R15" s="3"/>
      <c r="S15" s="3"/>
      <c r="T15" s="3" t="s">
        <v>56</v>
      </c>
      <c r="U15" s="3" t="n">
        <v>3</v>
      </c>
      <c r="V15" s="1" t="s">
        <v>136</v>
      </c>
      <c r="W15" s="1" t="n">
        <v>13.6</v>
      </c>
      <c r="X15" s="1" t="s">
        <v>137</v>
      </c>
      <c r="Y15" s="1" t="s">
        <v>59</v>
      </c>
    </row>
    <row r="16" customFormat="false" ht="41.25" hidden="false" customHeight="true" outlineLevel="0" collapsed="false">
      <c r="A16" s="3" t="s">
        <v>138</v>
      </c>
      <c r="B16" s="3" t="n">
        <v>2016</v>
      </c>
      <c r="C16" s="3" t="n">
        <v>13</v>
      </c>
      <c r="D16" s="3" t="s">
        <v>139</v>
      </c>
      <c r="E16" s="3" t="s">
        <v>68</v>
      </c>
      <c r="F16" s="3" t="n">
        <v>15</v>
      </c>
      <c r="G16" s="3" t="n">
        <v>17</v>
      </c>
      <c r="H16" s="3" t="s">
        <v>133</v>
      </c>
      <c r="I16" s="3" t="s">
        <v>140</v>
      </c>
      <c r="J16" s="3" t="s">
        <v>64</v>
      </c>
      <c r="K16" s="3" t="s">
        <v>65</v>
      </c>
      <c r="L16" s="3" t="s">
        <v>86</v>
      </c>
      <c r="M16" s="3" t="n">
        <v>21.8</v>
      </c>
      <c r="N16" s="3" t="n">
        <v>12.8</v>
      </c>
      <c r="O16" s="3" t="s">
        <v>141</v>
      </c>
      <c r="P16" s="3"/>
      <c r="Q16" s="3"/>
      <c r="R16" s="3"/>
      <c r="S16" s="3"/>
      <c r="T16" s="3" t="s">
        <v>56</v>
      </c>
      <c r="U16" s="3" t="n">
        <v>2</v>
      </c>
      <c r="V16" s="1" t="s">
        <v>136</v>
      </c>
      <c r="W16" s="1" t="n">
        <v>22.2</v>
      </c>
      <c r="X16" s="1" t="s">
        <v>142</v>
      </c>
      <c r="Y16" s="1" t="s">
        <v>59</v>
      </c>
    </row>
    <row r="17" customFormat="false" ht="41.25" hidden="false" customHeight="true" outlineLevel="0" collapsed="false">
      <c r="A17" s="3" t="s">
        <v>143</v>
      </c>
      <c r="B17" s="3" t="n">
        <v>2016</v>
      </c>
      <c r="C17" s="3" t="n">
        <v>14</v>
      </c>
      <c r="D17" s="3" t="s">
        <v>144</v>
      </c>
      <c r="E17" s="3" t="s">
        <v>145</v>
      </c>
      <c r="F17" s="3" t="n">
        <v>21</v>
      </c>
      <c r="G17" s="3" t="n">
        <v>13</v>
      </c>
      <c r="H17" s="3" t="s">
        <v>133</v>
      </c>
      <c r="I17" s="3" t="s">
        <v>146</v>
      </c>
      <c r="J17" s="3" t="s">
        <v>64</v>
      </c>
      <c r="K17" s="3" t="s">
        <v>65</v>
      </c>
      <c r="L17" s="3" t="s">
        <v>86</v>
      </c>
      <c r="M17" s="3" t="n">
        <v>17.4</v>
      </c>
      <c r="N17" s="3" t="n">
        <v>10.5</v>
      </c>
      <c r="O17" s="3" t="s">
        <v>147</v>
      </c>
      <c r="P17" s="3"/>
      <c r="Q17" s="3"/>
      <c r="R17" s="3"/>
      <c r="S17" s="3"/>
      <c r="T17" s="3" t="s">
        <v>56</v>
      </c>
      <c r="U17" s="3" t="n">
        <v>8</v>
      </c>
      <c r="V17" s="1" t="s">
        <v>136</v>
      </c>
      <c r="W17" s="1" t="n">
        <v>17.8</v>
      </c>
      <c r="X17" s="1" t="s">
        <v>148</v>
      </c>
      <c r="Y17" s="1" t="s">
        <v>59</v>
      </c>
    </row>
    <row r="18" customFormat="false" ht="41.25" hidden="false" customHeight="true" outlineLevel="0" collapsed="false">
      <c r="A18" s="3" t="s">
        <v>149</v>
      </c>
      <c r="B18" s="3" t="n">
        <v>2016</v>
      </c>
      <c r="C18" s="3" t="n">
        <v>15</v>
      </c>
      <c r="D18" s="3" t="s">
        <v>150</v>
      </c>
      <c r="E18" s="3" t="s">
        <v>151</v>
      </c>
      <c r="F18" s="3" t="n">
        <v>24</v>
      </c>
      <c r="G18" s="3" t="n">
        <v>3</v>
      </c>
      <c r="H18" s="3" t="s">
        <v>133</v>
      </c>
      <c r="I18" s="3" t="s">
        <v>152</v>
      </c>
      <c r="J18" s="3" t="s">
        <v>64</v>
      </c>
      <c r="K18" s="3" t="s">
        <v>65</v>
      </c>
      <c r="L18" s="3" t="s">
        <v>86</v>
      </c>
      <c r="M18" s="3" t="n">
        <v>14.65</v>
      </c>
      <c r="N18" s="3" t="n">
        <v>8.8</v>
      </c>
      <c r="O18" s="3" t="s">
        <v>153</v>
      </c>
      <c r="P18" s="3"/>
      <c r="Q18" s="3"/>
      <c r="R18" s="3"/>
      <c r="S18" s="3"/>
      <c r="T18" s="3" t="s">
        <v>56</v>
      </c>
      <c r="U18" s="3" t="n">
        <v>21</v>
      </c>
      <c r="V18" s="1" t="s">
        <v>136</v>
      </c>
      <c r="X18" s="1" t="s">
        <v>154</v>
      </c>
      <c r="Y18" s="1" t="s">
        <v>59</v>
      </c>
    </row>
    <row r="19" customFormat="false" ht="41.25" hidden="false" customHeight="true" outlineLevel="0" collapsed="false">
      <c r="A19" s="3" t="s">
        <v>155</v>
      </c>
      <c r="B19" s="3" t="n">
        <v>2016</v>
      </c>
      <c r="C19" s="3" t="n">
        <v>16</v>
      </c>
      <c r="D19" s="3" t="s">
        <v>156</v>
      </c>
      <c r="E19" s="3" t="s">
        <v>157</v>
      </c>
      <c r="F19" s="3" t="n">
        <v>24</v>
      </c>
      <c r="G19" s="3" t="n">
        <v>19</v>
      </c>
      <c r="H19" s="3" t="s">
        <v>133</v>
      </c>
      <c r="I19" s="3" t="s">
        <v>158</v>
      </c>
      <c r="J19" s="3" t="s">
        <v>64</v>
      </c>
      <c r="K19" s="3" t="s">
        <v>65</v>
      </c>
      <c r="L19" s="3" t="s">
        <v>86</v>
      </c>
      <c r="M19" s="3" t="n">
        <v>17.9</v>
      </c>
      <c r="N19" s="3"/>
      <c r="O19" s="3" t="s">
        <v>159</v>
      </c>
      <c r="P19" s="3"/>
      <c r="Q19" s="3"/>
      <c r="R19" s="3"/>
      <c r="S19" s="3"/>
      <c r="T19" s="3" t="s">
        <v>56</v>
      </c>
      <c r="U19" s="3" t="n">
        <v>5</v>
      </c>
      <c r="V19" s="1" t="s">
        <v>136</v>
      </c>
      <c r="W19" s="1" t="n">
        <v>18.3</v>
      </c>
      <c r="X19" s="1" t="s">
        <v>160</v>
      </c>
      <c r="Y19" s="1" t="s">
        <v>59</v>
      </c>
    </row>
    <row r="20" customFormat="false" ht="41.25" hidden="false" customHeight="true" outlineLevel="0" collapsed="false">
      <c r="A20" s="3" t="s">
        <v>161</v>
      </c>
      <c r="B20" s="3" t="n">
        <v>2017</v>
      </c>
      <c r="C20" s="3" t="n">
        <v>2</v>
      </c>
      <c r="D20" s="3" t="s">
        <v>95</v>
      </c>
      <c r="E20" s="3" t="s">
        <v>92</v>
      </c>
      <c r="F20" s="3" t="n">
        <v>9</v>
      </c>
      <c r="G20" s="3" t="n">
        <v>13</v>
      </c>
      <c r="H20" s="3" t="s">
        <v>50</v>
      </c>
      <c r="I20" s="3" t="s">
        <v>162</v>
      </c>
      <c r="J20" s="3" t="s">
        <v>64</v>
      </c>
      <c r="K20" s="3" t="s">
        <v>163</v>
      </c>
      <c r="L20" s="3" t="s">
        <v>164</v>
      </c>
      <c r="M20" s="3" t="n">
        <v>8.1</v>
      </c>
      <c r="N20" s="3" t="n">
        <v>4.9</v>
      </c>
      <c r="O20" s="3" t="s">
        <v>165</v>
      </c>
      <c r="P20" s="3"/>
      <c r="Q20" s="3"/>
      <c r="R20" s="3"/>
      <c r="S20" s="3"/>
      <c r="T20" s="3" t="s">
        <v>56</v>
      </c>
      <c r="U20" s="3" t="n">
        <v>4</v>
      </c>
      <c r="V20" s="1" t="s">
        <v>57</v>
      </c>
      <c r="Y20" s="1" t="s">
        <v>59</v>
      </c>
    </row>
    <row r="21" customFormat="false" ht="41.25" hidden="false" customHeight="true" outlineLevel="0" collapsed="false">
      <c r="A21" s="3" t="s">
        <v>166</v>
      </c>
      <c r="B21" s="3" t="n">
        <v>2017</v>
      </c>
      <c r="C21" s="3" t="n">
        <v>3</v>
      </c>
      <c r="D21" s="3" t="s">
        <v>101</v>
      </c>
      <c r="E21" s="3" t="s">
        <v>151</v>
      </c>
      <c r="F21" s="3" t="n">
        <v>39</v>
      </c>
      <c r="G21" s="3" t="n">
        <v>41</v>
      </c>
      <c r="H21" s="3" t="s">
        <v>50</v>
      </c>
      <c r="I21" s="3" t="s">
        <v>167</v>
      </c>
      <c r="J21" s="3" t="s">
        <v>168</v>
      </c>
      <c r="K21" s="3" t="s">
        <v>163</v>
      </c>
      <c r="L21" s="3" t="s">
        <v>164</v>
      </c>
      <c r="M21" s="3" t="n">
        <v>7.4</v>
      </c>
      <c r="N21" s="3" t="n">
        <v>4.4</v>
      </c>
      <c r="O21" s="3" t="s">
        <v>55</v>
      </c>
      <c r="P21" s="3"/>
      <c r="Q21" s="3"/>
      <c r="R21" s="3"/>
      <c r="S21" s="3"/>
      <c r="T21" s="3" t="s">
        <v>56</v>
      </c>
      <c r="U21" s="3" t="n">
        <v>2</v>
      </c>
      <c r="V21" s="1" t="s">
        <v>57</v>
      </c>
      <c r="Y21" s="1" t="s">
        <v>59</v>
      </c>
    </row>
    <row r="22" customFormat="false" ht="41.25" hidden="false" customHeight="true" outlineLevel="0" collapsed="false">
      <c r="A22" s="3" t="s">
        <v>169</v>
      </c>
      <c r="B22" s="3" t="n">
        <v>2017</v>
      </c>
      <c r="C22" s="3" t="n">
        <v>4</v>
      </c>
      <c r="D22" s="3" t="s">
        <v>113</v>
      </c>
      <c r="E22" s="3" t="s">
        <v>114</v>
      </c>
      <c r="F22" s="3" t="n">
        <v>35</v>
      </c>
      <c r="G22" s="3" t="n">
        <v>14</v>
      </c>
      <c r="H22" s="3" t="s">
        <v>170</v>
      </c>
      <c r="I22" s="3" t="s">
        <v>115</v>
      </c>
      <c r="J22" s="3" t="s">
        <v>64</v>
      </c>
      <c r="K22" s="3" t="s">
        <v>163</v>
      </c>
      <c r="L22" s="3" t="s">
        <v>164</v>
      </c>
      <c r="M22" s="3" t="n">
        <v>14.6</v>
      </c>
      <c r="N22" s="3" t="n">
        <v>8.9</v>
      </c>
      <c r="O22" s="3" t="s">
        <v>116</v>
      </c>
      <c r="P22" s="3"/>
      <c r="Q22" s="3"/>
      <c r="R22" s="3"/>
      <c r="S22" s="3"/>
      <c r="T22" s="3" t="s">
        <v>56</v>
      </c>
      <c r="U22" s="3" t="n">
        <v>21</v>
      </c>
      <c r="V22" s="1" t="s">
        <v>88</v>
      </c>
      <c r="Y22" s="1" t="s">
        <v>59</v>
      </c>
    </row>
    <row r="23" customFormat="false" ht="41.25" hidden="false" customHeight="true" outlineLevel="0" collapsed="false">
      <c r="A23" s="3" t="s">
        <v>171</v>
      </c>
      <c r="B23" s="3" t="n">
        <v>2017</v>
      </c>
      <c r="C23" s="3" t="n">
        <v>5</v>
      </c>
      <c r="D23" s="3" t="s">
        <v>77</v>
      </c>
      <c r="E23" s="3" t="s">
        <v>91</v>
      </c>
      <c r="F23" s="3" t="n">
        <v>14</v>
      </c>
      <c r="G23" s="3" t="n">
        <v>19</v>
      </c>
      <c r="H23" s="3" t="s">
        <v>170</v>
      </c>
      <c r="I23" s="3" t="s">
        <v>172</v>
      </c>
      <c r="J23" s="3" t="s">
        <v>64</v>
      </c>
      <c r="K23" s="3" t="s">
        <v>163</v>
      </c>
      <c r="L23" s="3" t="s">
        <v>164</v>
      </c>
      <c r="M23" s="3" t="n">
        <v>15.4</v>
      </c>
      <c r="N23" s="3" t="n">
        <v>9.4</v>
      </c>
      <c r="O23" s="3" t="s">
        <v>173</v>
      </c>
      <c r="P23" s="3"/>
      <c r="Q23" s="3"/>
      <c r="R23" s="3"/>
      <c r="S23" s="3"/>
      <c r="T23" s="3" t="s">
        <v>56</v>
      </c>
      <c r="U23" s="3" t="n">
        <v>5</v>
      </c>
      <c r="V23" s="1" t="s">
        <v>88</v>
      </c>
      <c r="Y23" s="1" t="s">
        <v>59</v>
      </c>
    </row>
    <row r="24" customFormat="false" ht="41.25" hidden="false" customHeight="true" outlineLevel="0" collapsed="false">
      <c r="A24" s="3" t="s">
        <v>174</v>
      </c>
      <c r="B24" s="3" t="n">
        <v>2017</v>
      </c>
      <c r="C24" s="3" t="n">
        <v>6</v>
      </c>
      <c r="D24" s="3" t="s">
        <v>69</v>
      </c>
      <c r="E24" s="3" t="s">
        <v>156</v>
      </c>
      <c r="F24" s="3" t="n">
        <v>23</v>
      </c>
      <c r="G24" s="3" t="n">
        <v>28</v>
      </c>
      <c r="H24" s="3" t="s">
        <v>170</v>
      </c>
      <c r="I24" s="3" t="s">
        <v>175</v>
      </c>
      <c r="J24" s="3" t="s">
        <v>64</v>
      </c>
      <c r="K24" s="3" t="s">
        <v>163</v>
      </c>
      <c r="L24" s="3" t="s">
        <v>164</v>
      </c>
      <c r="M24" s="3" t="n">
        <v>14.59</v>
      </c>
      <c r="N24" s="3" t="n">
        <v>8.9</v>
      </c>
      <c r="O24" s="3" t="s">
        <v>176</v>
      </c>
      <c r="P24" s="3"/>
      <c r="Q24" s="3"/>
      <c r="R24" s="3"/>
      <c r="S24" s="3"/>
      <c r="T24" s="3" t="s">
        <v>56</v>
      </c>
      <c r="U24" s="3" t="n">
        <v>5</v>
      </c>
      <c r="V24" s="1" t="s">
        <v>88</v>
      </c>
      <c r="X24" s="1" t="s">
        <v>177</v>
      </c>
      <c r="Y24" s="1" t="s">
        <v>59</v>
      </c>
    </row>
    <row r="25" customFormat="false" ht="41.25" hidden="false" customHeight="true" outlineLevel="0" collapsed="false">
      <c r="A25" s="3" t="s">
        <v>178</v>
      </c>
      <c r="B25" s="3" t="n">
        <v>2017</v>
      </c>
      <c r="C25" s="3" t="n">
        <v>7</v>
      </c>
      <c r="D25" s="3" t="s">
        <v>145</v>
      </c>
      <c r="E25" s="3" t="s">
        <v>144</v>
      </c>
      <c r="F25" s="3" t="n">
        <v>31</v>
      </c>
      <c r="G25" s="3" t="n">
        <v>30</v>
      </c>
      <c r="H25" s="3" t="s">
        <v>170</v>
      </c>
      <c r="I25" s="3" t="s">
        <v>179</v>
      </c>
      <c r="J25" s="3" t="s">
        <v>168</v>
      </c>
      <c r="K25" s="3" t="s">
        <v>163</v>
      </c>
      <c r="L25" s="3" t="s">
        <v>164</v>
      </c>
      <c r="M25" s="3" t="n">
        <v>14.4</v>
      </c>
      <c r="N25" s="3" t="n">
        <v>8.6</v>
      </c>
      <c r="O25" s="3" t="s">
        <v>110</v>
      </c>
      <c r="P25" s="3"/>
      <c r="Q25" s="3"/>
      <c r="R25" s="3"/>
      <c r="S25" s="3"/>
      <c r="T25" s="3" t="s">
        <v>56</v>
      </c>
      <c r="U25" s="3" t="n">
        <v>1</v>
      </c>
      <c r="V25" s="1" t="s">
        <v>88</v>
      </c>
      <c r="Y25" s="1" t="s">
        <v>59</v>
      </c>
    </row>
    <row r="26" customFormat="false" ht="41.25" hidden="false" customHeight="true" outlineLevel="0" collapsed="false">
      <c r="A26" s="3" t="s">
        <v>180</v>
      </c>
      <c r="B26" s="3" t="n">
        <v>2017</v>
      </c>
      <c r="C26" s="3" t="n">
        <v>8</v>
      </c>
      <c r="D26" s="3" t="s">
        <v>127</v>
      </c>
      <c r="E26" s="3" t="s">
        <v>96</v>
      </c>
      <c r="F26" s="3" t="n">
        <v>40</v>
      </c>
      <c r="G26" s="3" t="n">
        <v>0</v>
      </c>
      <c r="H26" s="3" t="s">
        <v>170</v>
      </c>
      <c r="I26" s="3" t="s">
        <v>181</v>
      </c>
      <c r="J26" s="3" t="s">
        <v>182</v>
      </c>
      <c r="K26" s="3" t="s">
        <v>163</v>
      </c>
      <c r="L26" s="3" t="s">
        <v>164</v>
      </c>
      <c r="M26" s="3" t="n">
        <v>11.4</v>
      </c>
      <c r="N26" s="3" t="n">
        <v>7</v>
      </c>
      <c r="O26" s="3" t="s">
        <v>183</v>
      </c>
      <c r="P26" s="3"/>
      <c r="Q26" s="3"/>
      <c r="R26" s="3"/>
      <c r="S26" s="3"/>
      <c r="T26" s="3" t="s">
        <v>56</v>
      </c>
      <c r="U26" s="3" t="n">
        <v>40</v>
      </c>
      <c r="V26" s="1" t="s">
        <v>88</v>
      </c>
      <c r="X26" s="1" t="s">
        <v>184</v>
      </c>
      <c r="Y26" s="1" t="s">
        <v>59</v>
      </c>
    </row>
    <row r="27" customFormat="false" ht="41.25" hidden="false" customHeight="true" outlineLevel="0" collapsed="false">
      <c r="A27" s="3" t="s">
        <v>185</v>
      </c>
      <c r="B27" s="3" t="n">
        <v>2017</v>
      </c>
      <c r="C27" s="3" t="n">
        <v>9</v>
      </c>
      <c r="D27" s="3" t="s">
        <v>48</v>
      </c>
      <c r="E27" s="3" t="s">
        <v>49</v>
      </c>
      <c r="F27" s="3" t="n">
        <v>34</v>
      </c>
      <c r="G27" s="3" t="n">
        <v>21</v>
      </c>
      <c r="H27" s="3" t="s">
        <v>50</v>
      </c>
      <c r="I27" s="3" t="s">
        <v>186</v>
      </c>
      <c r="J27" s="3" t="s">
        <v>187</v>
      </c>
      <c r="K27" s="3" t="s">
        <v>163</v>
      </c>
      <c r="L27" s="3" t="s">
        <v>164</v>
      </c>
      <c r="M27" s="3" t="n">
        <v>5.844</v>
      </c>
      <c r="N27" s="3" t="n">
        <v>3.6</v>
      </c>
      <c r="O27" s="3" t="s">
        <v>124</v>
      </c>
      <c r="P27" s="3"/>
      <c r="Q27" s="3"/>
      <c r="R27" s="3"/>
      <c r="S27" s="3"/>
      <c r="T27" s="3" t="s">
        <v>56</v>
      </c>
      <c r="U27" s="3" t="n">
        <v>13</v>
      </c>
      <c r="V27" s="1" t="s">
        <v>57</v>
      </c>
      <c r="Y27" s="1" t="s">
        <v>59</v>
      </c>
    </row>
    <row r="28" customFormat="false" ht="41.25" hidden="false" customHeight="true" outlineLevel="0" collapsed="false">
      <c r="A28" s="3" t="s">
        <v>188</v>
      </c>
      <c r="B28" s="3" t="n">
        <v>2017</v>
      </c>
      <c r="C28" s="3" t="n">
        <v>10</v>
      </c>
      <c r="D28" s="3" t="s">
        <v>102</v>
      </c>
      <c r="E28" s="3" t="s">
        <v>150</v>
      </c>
      <c r="F28" s="3" t="n">
        <v>16</v>
      </c>
      <c r="G28" s="3" t="n">
        <v>22</v>
      </c>
      <c r="H28" s="3" t="s">
        <v>189</v>
      </c>
      <c r="I28" s="3" t="s">
        <v>190</v>
      </c>
      <c r="J28" s="3" t="s">
        <v>64</v>
      </c>
      <c r="K28" s="3" t="s">
        <v>163</v>
      </c>
      <c r="L28" s="3" t="s">
        <v>164</v>
      </c>
      <c r="M28" s="3" t="n">
        <v>13.1</v>
      </c>
      <c r="N28" s="3" t="n">
        <v>7.9</v>
      </c>
      <c r="O28" s="3" t="s">
        <v>191</v>
      </c>
      <c r="P28" s="3"/>
      <c r="Q28" s="3"/>
      <c r="R28" s="3"/>
      <c r="S28" s="3"/>
      <c r="T28" s="3" t="s">
        <v>56</v>
      </c>
      <c r="U28" s="3" t="n">
        <v>6</v>
      </c>
      <c r="V28" s="1" t="s">
        <v>136</v>
      </c>
      <c r="X28" s="1" t="s">
        <v>177</v>
      </c>
      <c r="Y28" s="1" t="s">
        <v>59</v>
      </c>
    </row>
    <row r="29" customFormat="false" ht="41.25" hidden="false" customHeight="true" outlineLevel="0" collapsed="false">
      <c r="A29" s="3" t="s">
        <v>192</v>
      </c>
      <c r="B29" s="3" t="n">
        <v>2017</v>
      </c>
      <c r="C29" s="3" t="n">
        <v>11</v>
      </c>
      <c r="D29" s="3" t="s">
        <v>193</v>
      </c>
      <c r="E29" s="3" t="s">
        <v>62</v>
      </c>
      <c r="F29" s="3" t="n">
        <v>40</v>
      </c>
      <c r="G29" s="3" t="n">
        <v>17</v>
      </c>
      <c r="H29" s="3" t="s">
        <v>189</v>
      </c>
      <c r="I29" s="3" t="s">
        <v>194</v>
      </c>
      <c r="J29" s="3" t="s">
        <v>64</v>
      </c>
      <c r="K29" s="3" t="s">
        <v>163</v>
      </c>
      <c r="L29" s="3" t="s">
        <v>164</v>
      </c>
      <c r="M29" s="3" t="n">
        <v>13.5</v>
      </c>
      <c r="N29" s="3" t="n">
        <v>8.2</v>
      </c>
      <c r="O29" s="3" t="s">
        <v>195</v>
      </c>
      <c r="P29" s="3"/>
      <c r="Q29" s="3"/>
      <c r="R29" s="3"/>
      <c r="S29" s="3"/>
      <c r="T29" s="3" t="s">
        <v>56</v>
      </c>
      <c r="U29" s="3" t="n">
        <v>23</v>
      </c>
      <c r="V29" s="1" t="s">
        <v>136</v>
      </c>
      <c r="X29" s="1" t="s">
        <v>196</v>
      </c>
      <c r="Y29" s="1" t="s">
        <v>59</v>
      </c>
    </row>
    <row r="30" customFormat="false" ht="41.25" hidden="false" customHeight="true" outlineLevel="0" collapsed="false">
      <c r="A30" s="3" t="s">
        <v>197</v>
      </c>
      <c r="B30" s="3" t="n">
        <v>2017</v>
      </c>
      <c r="C30" s="3" t="n">
        <v>12</v>
      </c>
      <c r="D30" s="3" t="s">
        <v>198</v>
      </c>
      <c r="E30" s="3" t="s">
        <v>157</v>
      </c>
      <c r="F30" s="3" t="n">
        <v>20</v>
      </c>
      <c r="G30" s="3" t="n">
        <v>10</v>
      </c>
      <c r="H30" s="3" t="s">
        <v>199</v>
      </c>
      <c r="I30" s="3" t="s">
        <v>200</v>
      </c>
      <c r="J30" s="3" t="s">
        <v>201</v>
      </c>
      <c r="K30" s="3" t="s">
        <v>163</v>
      </c>
      <c r="L30" s="3" t="s">
        <v>164</v>
      </c>
      <c r="M30" s="3"/>
      <c r="N30" s="3"/>
      <c r="O30" s="3"/>
      <c r="P30" s="3"/>
      <c r="Q30" s="3"/>
      <c r="R30" s="3"/>
      <c r="S30" s="3"/>
      <c r="T30" s="3" t="s">
        <v>73</v>
      </c>
      <c r="U30" s="3" t="n">
        <v>10</v>
      </c>
      <c r="X30" s="1" t="s">
        <v>202</v>
      </c>
      <c r="Y30" s="1" t="s">
        <v>203</v>
      </c>
    </row>
    <row r="31" customFormat="false" ht="41.25" hidden="false" customHeight="true" outlineLevel="0" collapsed="false">
      <c r="A31" s="3" t="s">
        <v>204</v>
      </c>
      <c r="B31" s="3" t="n">
        <v>2017</v>
      </c>
      <c r="C31" s="3" t="n">
        <v>13</v>
      </c>
      <c r="D31" s="3" t="s">
        <v>68</v>
      </c>
      <c r="E31" s="3" t="s">
        <v>198</v>
      </c>
      <c r="F31" s="3" t="n">
        <v>38</v>
      </c>
      <c r="G31" s="3" t="n">
        <v>14</v>
      </c>
      <c r="H31" s="3" t="s">
        <v>170</v>
      </c>
      <c r="I31" s="3" t="s">
        <v>205</v>
      </c>
      <c r="J31" s="3" t="s">
        <v>206</v>
      </c>
      <c r="K31" s="3" t="s">
        <v>163</v>
      </c>
      <c r="L31" s="3" t="s">
        <v>164</v>
      </c>
      <c r="M31" s="3" t="n">
        <v>15.6</v>
      </c>
      <c r="N31" s="3" t="n">
        <v>9.4</v>
      </c>
      <c r="O31" s="3" t="s">
        <v>207</v>
      </c>
      <c r="P31" s="3"/>
      <c r="Q31" s="3"/>
      <c r="R31" s="3"/>
      <c r="S31" s="3"/>
      <c r="T31" s="3" t="s">
        <v>56</v>
      </c>
      <c r="U31" s="3" t="n">
        <v>24</v>
      </c>
      <c r="V31" s="1" t="s">
        <v>88</v>
      </c>
      <c r="X31" s="1" t="s">
        <v>208</v>
      </c>
      <c r="Y31" s="1" t="s">
        <v>209</v>
      </c>
    </row>
    <row r="32" customFormat="false" ht="41.25" hidden="false" customHeight="true" outlineLevel="0" collapsed="false">
      <c r="A32" s="3" t="s">
        <v>210</v>
      </c>
      <c r="B32" s="3" t="n">
        <v>2017</v>
      </c>
      <c r="C32" s="3" t="n">
        <v>14</v>
      </c>
      <c r="D32" s="3" t="s">
        <v>122</v>
      </c>
      <c r="E32" s="3" t="s">
        <v>132</v>
      </c>
      <c r="F32" s="3" t="n">
        <v>20</v>
      </c>
      <c r="G32" s="3" t="n">
        <v>17</v>
      </c>
      <c r="H32" s="3" t="s">
        <v>189</v>
      </c>
      <c r="I32" s="3" t="s">
        <v>211</v>
      </c>
      <c r="J32" s="3" t="s">
        <v>64</v>
      </c>
      <c r="K32" s="3" t="s">
        <v>163</v>
      </c>
      <c r="L32" s="3" t="s">
        <v>164</v>
      </c>
      <c r="M32" s="3" t="n">
        <v>14.61</v>
      </c>
      <c r="N32" s="3" t="n">
        <v>8.9</v>
      </c>
      <c r="O32" s="3" t="s">
        <v>212</v>
      </c>
      <c r="P32" s="3"/>
      <c r="Q32" s="3"/>
      <c r="R32" s="3"/>
      <c r="S32" s="3"/>
      <c r="T32" s="3" t="s">
        <v>56</v>
      </c>
      <c r="U32" s="3" t="n">
        <v>3</v>
      </c>
      <c r="V32" s="1" t="s">
        <v>136</v>
      </c>
      <c r="Y32" s="1" t="s">
        <v>59</v>
      </c>
    </row>
    <row r="33" customFormat="false" ht="41.25" hidden="false" customHeight="true" outlineLevel="0" collapsed="false">
      <c r="A33" s="3" t="s">
        <v>213</v>
      </c>
      <c r="B33" s="3" t="n">
        <v>2017</v>
      </c>
      <c r="C33" s="3" t="n">
        <v>15</v>
      </c>
      <c r="D33" s="3" t="s">
        <v>214</v>
      </c>
      <c r="E33" s="3" t="s">
        <v>108</v>
      </c>
      <c r="F33" s="3" t="n">
        <v>13</v>
      </c>
      <c r="G33" s="3" t="n">
        <v>25</v>
      </c>
      <c r="H33" s="3" t="s">
        <v>189</v>
      </c>
      <c r="I33" s="3" t="s">
        <v>215</v>
      </c>
      <c r="J33" s="3" t="s">
        <v>64</v>
      </c>
      <c r="K33" s="3" t="s">
        <v>163</v>
      </c>
      <c r="L33" s="3" t="s">
        <v>164</v>
      </c>
      <c r="M33" s="3" t="n">
        <v>10.64</v>
      </c>
      <c r="N33" s="3" t="n">
        <v>6.5</v>
      </c>
      <c r="O33" s="3" t="s">
        <v>191</v>
      </c>
      <c r="P33" s="3"/>
      <c r="Q33" s="3"/>
      <c r="R33" s="3"/>
      <c r="S33" s="3"/>
      <c r="T33" s="3" t="s">
        <v>56</v>
      </c>
      <c r="U33" s="3" t="n">
        <v>12</v>
      </c>
      <c r="V33" s="1" t="s">
        <v>136</v>
      </c>
      <c r="X33" s="1" t="s">
        <v>216</v>
      </c>
      <c r="Y33" s="1" t="s">
        <v>59</v>
      </c>
    </row>
  </sheetData>
  <autoFilter ref="A1:Y3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35"/>
    <col collapsed="false" customWidth="true" hidden="false" outlineLevel="0" max="4" min="3" style="1" width="18"/>
    <col collapsed="false" customWidth="true" hidden="false" outlineLevel="0" max="6" min="5" style="1" width="40"/>
  </cols>
  <sheetData>
    <row r="1" customFormat="false" ht="27.75" hidden="false" customHeight="true" outlineLevel="0" collapsed="false">
      <c r="A1" s="2" t="s">
        <v>23</v>
      </c>
      <c r="B1" s="2" t="s">
        <v>217</v>
      </c>
      <c r="C1" s="2" t="s">
        <v>34</v>
      </c>
      <c r="D1" s="2" t="s">
        <v>35</v>
      </c>
      <c r="E1" s="2" t="s">
        <v>218</v>
      </c>
      <c r="F1" s="2" t="s">
        <v>33</v>
      </c>
    </row>
    <row r="2" customFormat="false" ht="41.25" hidden="false" customHeight="true" outlineLevel="0" collapsed="false">
      <c r="A2" s="3" t="n">
        <v>2015</v>
      </c>
      <c r="B2" s="3" t="s">
        <v>219</v>
      </c>
      <c r="C2" s="3" t="n">
        <v>21.1</v>
      </c>
      <c r="D2" s="3" t="n">
        <v>12.9</v>
      </c>
      <c r="E2" s="3" t="s">
        <v>220</v>
      </c>
      <c r="F2" s="3" t="s">
        <v>221</v>
      </c>
    </row>
    <row r="3" customFormat="false" ht="41.25" hidden="false" customHeight="true" outlineLevel="0" collapsed="false">
      <c r="A3" s="3" t="n">
        <v>2015</v>
      </c>
      <c r="B3" s="3" t="s">
        <v>222</v>
      </c>
      <c r="C3" s="3" t="n">
        <v>12.425</v>
      </c>
      <c r="D3" s="3"/>
      <c r="E3" s="3" t="s">
        <v>223</v>
      </c>
      <c r="F3" s="3" t="s">
        <v>224</v>
      </c>
    </row>
    <row r="4" customFormat="false" ht="41.25" hidden="false" customHeight="true" outlineLevel="0" collapsed="false">
      <c r="A4" s="3" t="n">
        <v>2016</v>
      </c>
      <c r="B4" s="3" t="s">
        <v>222</v>
      </c>
      <c r="C4" s="3" t="n">
        <v>12.438</v>
      </c>
      <c r="D4" s="3"/>
      <c r="E4" s="3" t="s">
        <v>223</v>
      </c>
      <c r="F4" s="3" t="s">
        <v>224</v>
      </c>
    </row>
    <row r="5" customFormat="false" ht="41.25" hidden="false" customHeight="true" outlineLevel="0" collapsed="false">
      <c r="A5" s="3" t="n">
        <v>2017</v>
      </c>
      <c r="B5" s="3" t="s">
        <v>222</v>
      </c>
      <c r="C5" s="3" t="n">
        <v>10.937</v>
      </c>
      <c r="D5" s="3"/>
      <c r="E5" s="3" t="s">
        <v>223</v>
      </c>
      <c r="F5" s="3" t="s">
        <v>224</v>
      </c>
    </row>
    <row r="6" customFormat="false" ht="41.25" hidden="false" customHeight="true" outlineLevel="0" collapsed="false">
      <c r="A6" s="3" t="n">
        <v>2016</v>
      </c>
      <c r="B6" s="3" t="s">
        <v>225</v>
      </c>
      <c r="C6" s="3" t="n">
        <v>14.7</v>
      </c>
      <c r="D6" s="3"/>
      <c r="E6" s="3" t="s">
        <v>226</v>
      </c>
      <c r="F6" s="3" t="s">
        <v>227</v>
      </c>
    </row>
    <row r="7" customFormat="false" ht="54.75" hidden="false" customHeight="true" outlineLevel="0" collapsed="false">
      <c r="A7" s="3" t="n">
        <v>2016</v>
      </c>
      <c r="B7" s="3" t="s">
        <v>228</v>
      </c>
      <c r="C7" s="3" t="n">
        <v>17</v>
      </c>
      <c r="D7" s="3"/>
      <c r="E7" s="3" t="s">
        <v>229</v>
      </c>
      <c r="F7" s="3" t="s">
        <v>159</v>
      </c>
    </row>
    <row r="8" customFormat="false" ht="68.25" hidden="false" customHeight="true" outlineLevel="0" collapsed="false">
      <c r="A8" s="3" t="n">
        <v>2016</v>
      </c>
      <c r="B8" s="3" t="s">
        <v>230</v>
      </c>
      <c r="C8" s="3"/>
      <c r="D8" s="3"/>
      <c r="E8" s="3" t="s">
        <v>231</v>
      </c>
      <c r="F8" s="3" t="s">
        <v>130</v>
      </c>
    </row>
  </sheetData>
  <autoFilter ref="A1:F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5"/>
    <col collapsed="false" customWidth="true" hidden="false" outlineLevel="0" max="2" min="2" style="1" width="40"/>
    <col collapsed="false" customWidth="true" hidden="false" outlineLevel="0" max="3" min="3" style="1" width="31"/>
    <col collapsed="false" customWidth="true" hidden="false" outlineLevel="0" max="4" min="4" style="1" width="40"/>
  </cols>
  <sheetData>
    <row r="1" customFormat="false" ht="15" hidden="false" customHeight="true" outlineLevel="0" collapsed="false">
      <c r="A1" s="2" t="s">
        <v>232</v>
      </c>
      <c r="B1" s="2" t="s">
        <v>233</v>
      </c>
      <c r="C1" s="2" t="s">
        <v>234</v>
      </c>
      <c r="D1" s="2" t="s">
        <v>33</v>
      </c>
    </row>
    <row r="2" customFormat="false" ht="41.25" hidden="false" customHeight="true" outlineLevel="0" collapsed="false">
      <c r="A2" s="3" t="s">
        <v>235</v>
      </c>
      <c r="B2" s="3" t="s">
        <v>236</v>
      </c>
      <c r="C2" s="3" t="s">
        <v>237</v>
      </c>
      <c r="D2" s="3" t="s">
        <v>238</v>
      </c>
    </row>
    <row r="3" customFormat="false" ht="41.25" hidden="false" customHeight="true" outlineLevel="0" collapsed="false">
      <c r="A3" s="3" t="s">
        <v>239</v>
      </c>
      <c r="B3" s="3" t="s">
        <v>240</v>
      </c>
      <c r="C3" s="3" t="s">
        <v>237</v>
      </c>
      <c r="D3" s="3" t="s">
        <v>241</v>
      </c>
    </row>
    <row r="4" customFormat="false" ht="41.25" hidden="false" customHeight="true" outlineLevel="0" collapsed="false">
      <c r="A4" s="3" t="s">
        <v>242</v>
      </c>
      <c r="B4" s="3" t="s">
        <v>243</v>
      </c>
      <c r="C4" s="3" t="s">
        <v>237</v>
      </c>
      <c r="D4" s="3" t="s">
        <v>244</v>
      </c>
    </row>
    <row r="5" customFormat="false" ht="54.75" hidden="false" customHeight="true" outlineLevel="0" collapsed="false">
      <c r="A5" s="3" t="s">
        <v>245</v>
      </c>
      <c r="B5" s="3" t="s">
        <v>246</v>
      </c>
      <c r="C5" s="3" t="s">
        <v>237</v>
      </c>
      <c r="D5" s="3" t="s">
        <v>247</v>
      </c>
    </row>
    <row r="6" customFormat="false" ht="54.75" hidden="false" customHeight="true" outlineLevel="0" collapsed="false">
      <c r="A6" s="3" t="s">
        <v>248</v>
      </c>
      <c r="B6" s="3" t="s">
        <v>249</v>
      </c>
      <c r="C6" s="3" t="s">
        <v>250</v>
      </c>
      <c r="D6" s="3" t="s">
        <v>224</v>
      </c>
    </row>
    <row r="7" customFormat="false" ht="54.75" hidden="false" customHeight="true" outlineLevel="0" collapsed="false">
      <c r="A7" s="3" t="s">
        <v>251</v>
      </c>
      <c r="B7" s="3" t="s">
        <v>252</v>
      </c>
      <c r="C7" s="3" t="s">
        <v>253</v>
      </c>
      <c r="D7" s="3" t="s">
        <v>254</v>
      </c>
    </row>
    <row r="8" customFormat="false" ht="41.25" hidden="false" customHeight="true" outlineLevel="0" collapsed="false">
      <c r="A8" s="3" t="s">
        <v>255</v>
      </c>
      <c r="B8" s="3" t="s">
        <v>256</v>
      </c>
      <c r="C8" s="3" t="s">
        <v>257</v>
      </c>
      <c r="D8" s="3" t="s">
        <v>258</v>
      </c>
    </row>
    <row r="9" customFormat="false" ht="41.25" hidden="false" customHeight="true" outlineLevel="0" collapsed="false">
      <c r="A9" s="3" t="s">
        <v>259</v>
      </c>
      <c r="B9" s="3" t="s">
        <v>260</v>
      </c>
      <c r="C9" s="3" t="s">
        <v>261</v>
      </c>
      <c r="D9" s="3" t="s">
        <v>262</v>
      </c>
    </row>
    <row r="10" customFormat="false" ht="108.75" hidden="false" customHeight="true" outlineLevel="0" collapsed="false">
      <c r="A10" s="3" t="s">
        <v>263</v>
      </c>
      <c r="B10" s="3" t="s">
        <v>264</v>
      </c>
      <c r="C10" s="3" t="s">
        <v>265</v>
      </c>
      <c r="D10" s="3" t="s">
        <v>195</v>
      </c>
    </row>
    <row r="11" customFormat="false" ht="95.25" hidden="false" customHeight="true" outlineLevel="0" collapsed="false">
      <c r="A11" s="3" t="s">
        <v>266</v>
      </c>
      <c r="B11" s="3" t="s">
        <v>267</v>
      </c>
      <c r="C11" s="3" t="s">
        <v>268</v>
      </c>
      <c r="D11" s="3" t="s">
        <v>269</v>
      </c>
    </row>
    <row r="12" customFormat="false" ht="54.75" hidden="false" customHeight="true" outlineLevel="0" collapsed="false">
      <c r="A12" s="3" t="s">
        <v>270</v>
      </c>
      <c r="B12" s="3" t="s">
        <v>271</v>
      </c>
      <c r="C12" s="3" t="s">
        <v>272</v>
      </c>
      <c r="D12" s="3" t="s">
        <v>273</v>
      </c>
    </row>
    <row r="13" customFormat="false" ht="68.25" hidden="false" customHeight="true" outlineLevel="0" collapsed="false">
      <c r="A13" s="3" t="s">
        <v>274</v>
      </c>
      <c r="B13" s="3" t="s">
        <v>275</v>
      </c>
      <c r="C13" s="3" t="s">
        <v>276</v>
      </c>
      <c r="D13" s="3" t="s">
        <v>273</v>
      </c>
    </row>
    <row r="14" customFormat="false" ht="68.25" hidden="false" customHeight="true" outlineLevel="0" collapsed="false">
      <c r="A14" s="3" t="s">
        <v>277</v>
      </c>
      <c r="B14" s="3" t="s">
        <v>278</v>
      </c>
      <c r="C14" s="3" t="s">
        <v>279</v>
      </c>
      <c r="D14" s="3" t="s">
        <v>280</v>
      </c>
    </row>
    <row r="15" customFormat="false" ht="68.65" hidden="false" customHeight="false" outlineLevel="0" collapsed="false">
      <c r="A15" s="3" t="s">
        <v>281</v>
      </c>
      <c r="B15" s="3" t="s">
        <v>282</v>
      </c>
      <c r="C15" s="3" t="s">
        <v>237</v>
      </c>
      <c r="D15" s="3" t="s">
        <v>283</v>
      </c>
    </row>
    <row r="16" customFormat="false" ht="55.2" hidden="false" customHeight="false" outlineLevel="0" collapsed="false">
      <c r="A16" s="3" t="s">
        <v>284</v>
      </c>
      <c r="B16" s="3" t="s">
        <v>285</v>
      </c>
      <c r="C16" s="3" t="s">
        <v>286</v>
      </c>
      <c r="D16" s="3" t="s">
        <v>287</v>
      </c>
    </row>
    <row r="17" customFormat="false" ht="68.65" hidden="false" customHeight="false" outlineLevel="0" collapsed="false">
      <c r="A17" s="3" t="s">
        <v>288</v>
      </c>
      <c r="B17" s="3" t="s">
        <v>289</v>
      </c>
      <c r="C17" s="3" t="s">
        <v>261</v>
      </c>
      <c r="D17" s="3" t="s">
        <v>290</v>
      </c>
    </row>
    <row r="18" customFormat="false" ht="68.65" hidden="false" customHeight="false" outlineLevel="0" collapsed="false">
      <c r="A18" s="3" t="s">
        <v>291</v>
      </c>
      <c r="B18" s="3" t="s">
        <v>292</v>
      </c>
      <c r="C18" s="3" t="s">
        <v>293</v>
      </c>
      <c r="D18" s="3" t="s">
        <v>294</v>
      </c>
    </row>
  </sheetData>
  <autoFilter ref="A1:D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7"/>
    <col collapsed="false" customWidth="true" hidden="false" outlineLevel="0" max="3" min="2" style="1" width="40"/>
  </cols>
  <sheetData>
    <row r="1" customFormat="false" ht="15" hidden="false" customHeight="true" outlineLevel="0" collapsed="false">
      <c r="A1" s="2" t="s">
        <v>295</v>
      </c>
      <c r="B1" s="2" t="s">
        <v>296</v>
      </c>
      <c r="C1" s="2" t="s">
        <v>297</v>
      </c>
    </row>
    <row r="2" customFormat="false" ht="41.25" hidden="false" customHeight="true" outlineLevel="0" collapsed="false">
      <c r="A2" s="3" t="s">
        <v>65</v>
      </c>
      <c r="B2" s="3" t="s">
        <v>298</v>
      </c>
      <c r="C2" s="3" t="s">
        <v>54</v>
      </c>
    </row>
    <row r="3" customFormat="false" ht="41.25" hidden="false" customHeight="true" outlineLevel="0" collapsed="false">
      <c r="A3" s="3" t="s">
        <v>65</v>
      </c>
      <c r="B3" s="3" t="s">
        <v>299</v>
      </c>
      <c r="C3" s="3" t="s">
        <v>86</v>
      </c>
    </row>
    <row r="4" customFormat="false" ht="41.25" hidden="false" customHeight="true" outlineLevel="0" collapsed="false">
      <c r="A4" s="3" t="s">
        <v>65</v>
      </c>
      <c r="B4" s="3" t="s">
        <v>300</v>
      </c>
      <c r="C4" s="3" t="s">
        <v>164</v>
      </c>
    </row>
    <row r="5" customFormat="false" ht="27.75" hidden="false" customHeight="true" outlineLevel="0" collapsed="false">
      <c r="A5" s="3" t="s">
        <v>301</v>
      </c>
      <c r="B5" s="3" t="s">
        <v>302</v>
      </c>
      <c r="C5" s="3" t="s">
        <v>303</v>
      </c>
    </row>
    <row r="6" customFormat="false" ht="27.75" hidden="false" customHeight="true" outlineLevel="0" collapsed="false">
      <c r="A6" s="3" t="s">
        <v>304</v>
      </c>
      <c r="B6" s="3" t="s">
        <v>305</v>
      </c>
      <c r="C6" s="3" t="s">
        <v>306</v>
      </c>
    </row>
    <row r="7" customFormat="false" ht="41.25" hidden="false" customHeight="true" outlineLevel="0" collapsed="false">
      <c r="A7" s="3" t="s">
        <v>307</v>
      </c>
      <c r="B7" s="3" t="s">
        <v>308</v>
      </c>
      <c r="C7" s="3" t="s">
        <v>238</v>
      </c>
    </row>
    <row r="8" customFormat="false" ht="41.25" hidden="false" customHeight="true" outlineLevel="0" collapsed="false">
      <c r="A8" s="3" t="s">
        <v>301</v>
      </c>
      <c r="B8" s="3" t="s">
        <v>309</v>
      </c>
      <c r="C8" s="3" t="s">
        <v>241</v>
      </c>
    </row>
    <row r="9" customFormat="false" ht="41.25" hidden="false" customHeight="true" outlineLevel="0" collapsed="false">
      <c r="A9" s="3" t="s">
        <v>310</v>
      </c>
      <c r="B9" s="3" t="s">
        <v>311</v>
      </c>
      <c r="C9" s="3" t="s">
        <v>224</v>
      </c>
    </row>
    <row r="10" customFormat="false" ht="41.25" hidden="false" customHeight="true" outlineLevel="0" collapsed="false">
      <c r="A10" s="3" t="s">
        <v>312</v>
      </c>
      <c r="B10" s="3" t="s">
        <v>313</v>
      </c>
      <c r="C10" s="3" t="s">
        <v>247</v>
      </c>
    </row>
    <row r="11" customFormat="false" ht="41.25" hidden="false" customHeight="true" outlineLevel="0" collapsed="false">
      <c r="A11" s="3" t="s">
        <v>150</v>
      </c>
      <c r="B11" s="3" t="s">
        <v>314</v>
      </c>
      <c r="C11" s="3" t="s">
        <v>254</v>
      </c>
    </row>
    <row r="12" customFormat="false" ht="41.25" hidden="false" customHeight="true" outlineLevel="0" collapsed="false">
      <c r="A12" s="3" t="s">
        <v>315</v>
      </c>
      <c r="B12" s="3" t="s">
        <v>316</v>
      </c>
      <c r="C12" s="3" t="s">
        <v>262</v>
      </c>
    </row>
    <row r="13" customFormat="false" ht="27.75" hidden="false" customHeight="true" outlineLevel="0" collapsed="false">
      <c r="A13" s="3" t="s">
        <v>317</v>
      </c>
      <c r="B13" s="3" t="s">
        <v>318</v>
      </c>
      <c r="C13" s="3" t="s">
        <v>269</v>
      </c>
    </row>
    <row r="14" customFormat="false" ht="27.75" hidden="false" customHeight="true" outlineLevel="0" collapsed="false">
      <c r="A14" s="3" t="s">
        <v>319</v>
      </c>
      <c r="B14" s="3" t="s">
        <v>320</v>
      </c>
      <c r="C14" s="3" t="s">
        <v>321</v>
      </c>
    </row>
    <row r="15" customFormat="false" ht="54.75" hidden="false" customHeight="true" outlineLevel="0" collapsed="false">
      <c r="A15" s="3" t="s">
        <v>322</v>
      </c>
      <c r="B15" s="3" t="s">
        <v>323</v>
      </c>
      <c r="C15" s="3" t="s">
        <v>141</v>
      </c>
    </row>
    <row r="16" customFormat="false" ht="41.25" hidden="false" customHeight="true" outlineLevel="0" collapsed="false">
      <c r="A16" s="3" t="s">
        <v>324</v>
      </c>
      <c r="B16" s="3" t="s">
        <v>325</v>
      </c>
      <c r="C16" s="3" t="s">
        <v>326</v>
      </c>
    </row>
    <row r="17" customFormat="false" ht="54.75" hidden="false" customHeight="true" outlineLevel="0" collapsed="false">
      <c r="A17" s="3" t="s">
        <v>327</v>
      </c>
      <c r="B17" s="3" t="s">
        <v>328</v>
      </c>
      <c r="C17" s="3" t="s">
        <v>329</v>
      </c>
    </row>
    <row r="18" customFormat="false" ht="27.75" hidden="false" customHeight="true" outlineLevel="0" collapsed="false">
      <c r="A18" s="3" t="s">
        <v>330</v>
      </c>
      <c r="B18" s="3" t="s">
        <v>331</v>
      </c>
      <c r="C18" s="3" t="s">
        <v>273</v>
      </c>
    </row>
    <row r="19" customFormat="false" ht="41.25" hidden="false" customHeight="true" outlineLevel="0" collapsed="false">
      <c r="A19" s="3" t="s">
        <v>332</v>
      </c>
      <c r="B19" s="3" t="s">
        <v>333</v>
      </c>
      <c r="C19" s="3" t="s">
        <v>280</v>
      </c>
    </row>
    <row r="20" customFormat="false" ht="41.75" hidden="false" customHeight="false" outlineLevel="0" collapsed="false">
      <c r="A20" s="3" t="s">
        <v>334</v>
      </c>
      <c r="B20" s="3" t="s">
        <v>335</v>
      </c>
      <c r="C20" s="3" t="s">
        <v>336</v>
      </c>
    </row>
    <row r="21" customFormat="false" ht="28.35" hidden="false" customHeight="false" outlineLevel="0" collapsed="false">
      <c r="A21" s="3" t="s">
        <v>337</v>
      </c>
      <c r="B21" s="3" t="s">
        <v>338</v>
      </c>
      <c r="C21" s="3" t="s">
        <v>339</v>
      </c>
    </row>
    <row r="22" customFormat="false" ht="41.75" hidden="false" customHeight="false" outlineLevel="0" collapsed="false">
      <c r="A22" s="3" t="s">
        <v>332</v>
      </c>
      <c r="B22" s="3" t="s">
        <v>340</v>
      </c>
      <c r="C22" s="3" t="s">
        <v>290</v>
      </c>
    </row>
    <row r="23" customFormat="false" ht="41.75" hidden="false" customHeight="false" outlineLevel="0" collapsed="false">
      <c r="A23" s="3" t="s">
        <v>341</v>
      </c>
      <c r="B23" s="3" t="s">
        <v>342</v>
      </c>
      <c r="C23" s="3" t="s">
        <v>343</v>
      </c>
    </row>
    <row r="24" customFormat="false" ht="15" hidden="false" customHeight="false" outlineLevel="0" collapsed="false">
      <c r="A24" s="3" t="s">
        <v>312</v>
      </c>
      <c r="B24" s="3" t="s">
        <v>344</v>
      </c>
      <c r="C24" s="3" t="s">
        <v>294</v>
      </c>
    </row>
  </sheetData>
  <autoFilter ref="A1:C1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5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12"/>
    <col collapsed="false" customWidth="true" hidden="false" outlineLevel="0" max="3" min="3" style="1" width="11"/>
    <col collapsed="false" customWidth="true" hidden="false" outlineLevel="0" max="4" min="4" style="1" width="20"/>
    <col collapsed="false" customWidth="true" hidden="false" outlineLevel="0" max="5" min="5" style="1" width="14"/>
    <col collapsed="false" customWidth="true" hidden="false" outlineLevel="0" max="6" min="6" style="1" width="12"/>
    <col collapsed="false" customWidth="true" hidden="false" outlineLevel="0" max="7" min="7" style="1" width="9"/>
    <col collapsed="false" customWidth="true" hidden="false" outlineLevel="0" max="8" min="8" style="1" width="13"/>
    <col collapsed="false" customWidth="true" hidden="false" outlineLevel="0" max="9" min="9" style="1" width="28"/>
    <col collapsed="false" customWidth="true" hidden="false" outlineLevel="0" max="10" min="10" style="1" width="30"/>
    <col collapsed="false" customWidth="true" hidden="false" outlineLevel="0" max="13" min="11" style="1" width="11"/>
    <col collapsed="false" customWidth="true" hidden="false" outlineLevel="0" max="14" min="14" style="1" width="13"/>
    <col collapsed="false" customWidth="true" hidden="false" outlineLevel="0" max="15" min="15" style="1" width="15"/>
    <col collapsed="false" customWidth="true" hidden="false" outlineLevel="0" max="17" min="16" style="1" width="12"/>
    <col collapsed="false" customWidth="true" hidden="false" outlineLevel="0" max="19" min="18" style="1" width="14"/>
    <col collapsed="false" customWidth="true" hidden="false" outlineLevel="0" max="20" min="20" style="1" width="44"/>
    <col collapsed="false" customWidth="true" hidden="false" outlineLevel="0" max="23" min="21" style="1" width="10"/>
    <col collapsed="false" customWidth="true" hidden="false" outlineLevel="0" max="24" min="24" style="1" width="12"/>
    <col collapsed="false" customWidth="true" hidden="false" outlineLevel="0" max="25" min="25" style="1" width="36"/>
    <col collapsed="false" customWidth="true" hidden="false" outlineLevel="0" max="26" min="26" style="1" width="18"/>
  </cols>
  <sheetData>
    <row r="1" customFormat="false" ht="45" hidden="false" customHeight="true" outlineLevel="0" collapsed="false">
      <c r="A1" s="5" t="s">
        <v>345</v>
      </c>
      <c r="B1" s="5" t="s">
        <v>346</v>
      </c>
      <c r="C1" s="5" t="s">
        <v>347</v>
      </c>
      <c r="D1" s="5" t="s">
        <v>348</v>
      </c>
      <c r="E1" s="5" t="s">
        <v>349</v>
      </c>
      <c r="F1" s="5" t="s">
        <v>350</v>
      </c>
      <c r="G1" s="5" t="s">
        <v>351</v>
      </c>
      <c r="H1" s="5" t="s">
        <v>352</v>
      </c>
      <c r="I1" s="5" t="s">
        <v>353</v>
      </c>
      <c r="J1" s="5" t="s">
        <v>33</v>
      </c>
      <c r="K1" s="5" t="s">
        <v>354</v>
      </c>
      <c r="L1" s="5" t="s">
        <v>355</v>
      </c>
      <c r="M1" s="5" t="s">
        <v>356</v>
      </c>
      <c r="N1" s="5" t="s">
        <v>357</v>
      </c>
      <c r="O1" s="5" t="s">
        <v>358</v>
      </c>
      <c r="P1" s="5" t="s">
        <v>359</v>
      </c>
      <c r="Q1" s="5" t="s">
        <v>360</v>
      </c>
      <c r="R1" s="5" t="s">
        <v>361</v>
      </c>
      <c r="S1" s="5" t="s">
        <v>362</v>
      </c>
      <c r="T1" s="5" t="s">
        <v>363</v>
      </c>
      <c r="U1" s="5" t="s">
        <v>364</v>
      </c>
      <c r="V1" s="5" t="s">
        <v>365</v>
      </c>
      <c r="W1" s="5" t="s">
        <v>366</v>
      </c>
      <c r="X1" s="5" t="s">
        <v>367</v>
      </c>
      <c r="Y1" s="5" t="s">
        <v>368</v>
      </c>
      <c r="Z1" s="5" t="s">
        <v>369</v>
      </c>
    </row>
    <row r="2" customFormat="false" ht="15" hidden="false" customHeight="true" outlineLevel="0" collapsed="false">
      <c r="T2" s="3"/>
    </row>
    <row r="3" customFormat="false" ht="15" hidden="false" customHeight="true" outlineLevel="0" collapsed="false">
      <c r="T3" s="3"/>
    </row>
    <row r="4" customFormat="false" ht="15" hidden="false" customHeight="true" outlineLevel="0" collapsed="false">
      <c r="T4" s="3"/>
    </row>
    <row r="5" customFormat="false" ht="15" hidden="false" customHeight="true" outlineLevel="0" collapsed="false">
      <c r="T5" s="3"/>
    </row>
    <row r="6" customFormat="false" ht="15" hidden="false" customHeight="true" outlineLevel="0" collapsed="false">
      <c r="T6" s="3"/>
    </row>
    <row r="7" customFormat="false" ht="15" hidden="false" customHeight="true" outlineLevel="0" collapsed="false">
      <c r="T7" s="3"/>
    </row>
    <row r="8" customFormat="false" ht="15" hidden="false" customHeight="true" outlineLevel="0" collapsed="false">
      <c r="T8" s="3"/>
    </row>
    <row r="9" customFormat="false" ht="15" hidden="false" customHeight="true" outlineLevel="0" collapsed="false">
      <c r="T9" s="3"/>
    </row>
    <row r="10" customFormat="false" ht="15" hidden="false" customHeight="true" outlineLevel="0" collapsed="false">
      <c r="T10" s="3"/>
    </row>
    <row r="11" customFormat="false" ht="15" hidden="false" customHeight="true" outlineLevel="0" collapsed="false">
      <c r="T11" s="3"/>
    </row>
    <row r="12" customFormat="false" ht="15" hidden="false" customHeight="true" outlineLevel="0" collapsed="false">
      <c r="T12" s="3"/>
    </row>
    <row r="13" customFormat="false" ht="15" hidden="false" customHeight="true" outlineLevel="0" collapsed="false">
      <c r="T13" s="3"/>
    </row>
    <row r="14" customFormat="false" ht="15" hidden="false" customHeight="true" outlineLevel="0" collapsed="false">
      <c r="T14" s="3"/>
    </row>
    <row r="15" customFormat="false" ht="15" hidden="false" customHeight="true" outlineLevel="0" collapsed="false">
      <c r="T15" s="3"/>
    </row>
    <row r="16" customFormat="false" ht="15" hidden="false" customHeight="true" outlineLevel="0" collapsed="false">
      <c r="T16" s="3"/>
    </row>
    <row r="17" customFormat="false" ht="15" hidden="false" customHeight="true" outlineLevel="0" collapsed="false">
      <c r="T17" s="3"/>
    </row>
    <row r="18" customFormat="false" ht="15" hidden="false" customHeight="true" outlineLevel="0" collapsed="false">
      <c r="T18" s="3"/>
    </row>
    <row r="19" customFormat="false" ht="15" hidden="false" customHeight="true" outlineLevel="0" collapsed="false">
      <c r="T19" s="3"/>
    </row>
    <row r="20" customFormat="false" ht="15" hidden="false" customHeight="true" outlineLevel="0" collapsed="false">
      <c r="T20" s="3"/>
    </row>
    <row r="21" customFormat="false" ht="15" hidden="false" customHeight="true" outlineLevel="0" collapsed="false">
      <c r="T21" s="3"/>
    </row>
    <row r="22" customFormat="false" ht="15" hidden="false" customHeight="true" outlineLevel="0" collapsed="false">
      <c r="T22" s="3"/>
    </row>
    <row r="23" customFormat="false" ht="15" hidden="false" customHeight="true" outlineLevel="0" collapsed="false">
      <c r="T23" s="3"/>
    </row>
    <row r="24" customFormat="false" ht="15" hidden="false" customHeight="true" outlineLevel="0" collapsed="false">
      <c r="T24" s="3"/>
    </row>
    <row r="25" customFormat="false" ht="15" hidden="false" customHeight="true" outlineLevel="0" collapsed="false">
      <c r="T25" s="3"/>
    </row>
    <row r="26" customFormat="false" ht="15" hidden="false" customHeight="true" outlineLevel="0" collapsed="false">
      <c r="T26" s="3"/>
    </row>
    <row r="27" customFormat="false" ht="15" hidden="false" customHeight="true" outlineLevel="0" collapsed="false">
      <c r="T27" s="3"/>
    </row>
    <row r="28" customFormat="false" ht="15" hidden="false" customHeight="true" outlineLevel="0" collapsed="false">
      <c r="T28" s="3"/>
    </row>
    <row r="29" customFormat="false" ht="15" hidden="false" customHeight="true" outlineLevel="0" collapsed="false">
      <c r="T29" s="3"/>
    </row>
    <row r="30" customFormat="false" ht="15" hidden="false" customHeight="true" outlineLevel="0" collapsed="false">
      <c r="T30" s="3"/>
    </row>
    <row r="31" customFormat="false" ht="15" hidden="false" customHeight="true" outlineLevel="0" collapsed="false">
      <c r="T31" s="3"/>
    </row>
    <row r="32" customFormat="false" ht="15" hidden="false" customHeight="true" outlineLevel="0" collapsed="false">
      <c r="T32" s="3"/>
    </row>
    <row r="33" customFormat="false" ht="15" hidden="false" customHeight="true" outlineLevel="0" collapsed="false">
      <c r="T33" s="3"/>
    </row>
    <row r="34" customFormat="false" ht="15" hidden="false" customHeight="true" outlineLevel="0" collapsed="false">
      <c r="T34" s="3"/>
    </row>
    <row r="35" customFormat="false" ht="15" hidden="false" customHeight="true" outlineLevel="0" collapsed="false">
      <c r="T35" s="3"/>
    </row>
    <row r="36" customFormat="false" ht="15" hidden="false" customHeight="true" outlineLevel="0" collapsed="false">
      <c r="T36" s="3"/>
    </row>
    <row r="37" customFormat="false" ht="15" hidden="false" customHeight="true" outlineLevel="0" collapsed="false">
      <c r="T37" s="3"/>
    </row>
    <row r="38" customFormat="false" ht="15" hidden="false" customHeight="true" outlineLevel="0" collapsed="false">
      <c r="T38" s="3"/>
    </row>
    <row r="39" customFormat="false" ht="15" hidden="false" customHeight="true" outlineLevel="0" collapsed="false">
      <c r="T39" s="3"/>
    </row>
    <row r="40" customFormat="false" ht="15" hidden="false" customHeight="true" outlineLevel="0" collapsed="false">
      <c r="T40" s="3"/>
    </row>
    <row r="41" customFormat="false" ht="15" hidden="false" customHeight="true" outlineLevel="0" collapsed="false">
      <c r="T41" s="3"/>
    </row>
    <row r="42" customFormat="false" ht="15" hidden="false" customHeight="true" outlineLevel="0" collapsed="false">
      <c r="T42" s="3"/>
    </row>
    <row r="43" customFormat="false" ht="15" hidden="false" customHeight="true" outlineLevel="0" collapsed="false">
      <c r="T43" s="3"/>
    </row>
    <row r="44" customFormat="false" ht="15" hidden="false" customHeight="true" outlineLevel="0" collapsed="false">
      <c r="T44" s="3"/>
    </row>
    <row r="45" customFormat="false" ht="15" hidden="false" customHeight="true" outlineLevel="0" collapsed="false">
      <c r="T45" s="3"/>
    </row>
    <row r="46" customFormat="false" ht="15" hidden="false" customHeight="true" outlineLevel="0" collapsed="false">
      <c r="T46" s="3"/>
    </row>
    <row r="47" customFormat="false" ht="15" hidden="false" customHeight="true" outlineLevel="0" collapsed="false">
      <c r="T47" s="3"/>
    </row>
    <row r="48" customFormat="false" ht="15" hidden="false" customHeight="true" outlineLevel="0" collapsed="false">
      <c r="T48" s="3"/>
    </row>
    <row r="49" customFormat="false" ht="15" hidden="false" customHeight="true" outlineLevel="0" collapsed="false">
      <c r="T49" s="3"/>
    </row>
    <row r="50" customFormat="false" ht="15" hidden="false" customHeight="true" outlineLevel="0" collapsed="false">
      <c r="T50" s="3"/>
    </row>
    <row r="51" customFormat="false" ht="15" hidden="false" customHeight="true" outlineLevel="0" collapsed="false">
      <c r="T51" s="3"/>
    </row>
    <row r="52" customFormat="false" ht="15" hidden="false" customHeight="true" outlineLevel="0" collapsed="false">
      <c r="T52" s="3"/>
    </row>
    <row r="53" customFormat="false" ht="15" hidden="false" customHeight="true" outlineLevel="0" collapsed="false">
      <c r="T53" s="3"/>
    </row>
    <row r="54" customFormat="false" ht="15" hidden="false" customHeight="true" outlineLevel="0" collapsed="false">
      <c r="T54" s="3"/>
    </row>
    <row r="55" customFormat="false" ht="15" hidden="false" customHeight="true" outlineLevel="0" collapsed="false">
      <c r="T55" s="3"/>
    </row>
    <row r="56" customFormat="false" ht="15" hidden="false" customHeight="true" outlineLevel="0" collapsed="false">
      <c r="T56" s="3"/>
    </row>
    <row r="57" customFormat="false" ht="15" hidden="false" customHeight="true" outlineLevel="0" collapsed="false">
      <c r="T57" s="3"/>
    </row>
    <row r="58" customFormat="false" ht="15" hidden="false" customHeight="true" outlineLevel="0" collapsed="false">
      <c r="T58" s="3"/>
    </row>
    <row r="59" customFormat="false" ht="15" hidden="false" customHeight="true" outlineLevel="0" collapsed="false">
      <c r="T59" s="3"/>
    </row>
    <row r="60" customFormat="false" ht="15" hidden="false" customHeight="true" outlineLevel="0" collapsed="false">
      <c r="T60" s="3"/>
    </row>
    <row r="61" customFormat="false" ht="15" hidden="false" customHeight="true" outlineLevel="0" collapsed="false">
      <c r="T61" s="3"/>
    </row>
    <row r="62" customFormat="false" ht="15" hidden="false" customHeight="true" outlineLevel="0" collapsed="false">
      <c r="T62" s="3"/>
    </row>
    <row r="63" customFormat="false" ht="15" hidden="false" customHeight="true" outlineLevel="0" collapsed="false">
      <c r="T63" s="3"/>
    </row>
    <row r="64" customFormat="false" ht="15" hidden="false" customHeight="true" outlineLevel="0" collapsed="false">
      <c r="T64" s="3"/>
    </row>
    <row r="65" customFormat="false" ht="15" hidden="false" customHeight="true" outlineLevel="0" collapsed="false">
      <c r="T65" s="3"/>
    </row>
    <row r="66" customFormat="false" ht="15" hidden="false" customHeight="true" outlineLevel="0" collapsed="false">
      <c r="T66" s="3"/>
    </row>
    <row r="67" customFormat="false" ht="15" hidden="false" customHeight="true" outlineLevel="0" collapsed="false">
      <c r="T67" s="3"/>
    </row>
    <row r="68" customFormat="false" ht="15" hidden="false" customHeight="true" outlineLevel="0" collapsed="false">
      <c r="T68" s="3"/>
    </row>
    <row r="69" customFormat="false" ht="15" hidden="false" customHeight="true" outlineLevel="0" collapsed="false">
      <c r="T69" s="3"/>
    </row>
    <row r="70" customFormat="false" ht="15" hidden="false" customHeight="true" outlineLevel="0" collapsed="false">
      <c r="T70" s="3"/>
    </row>
    <row r="71" customFormat="false" ht="15" hidden="false" customHeight="true" outlineLevel="0" collapsed="false">
      <c r="T71" s="3"/>
    </row>
    <row r="72" customFormat="false" ht="15" hidden="false" customHeight="true" outlineLevel="0" collapsed="false">
      <c r="T72" s="3"/>
    </row>
    <row r="73" customFormat="false" ht="15" hidden="false" customHeight="true" outlineLevel="0" collapsed="false">
      <c r="T73" s="3"/>
    </row>
    <row r="74" customFormat="false" ht="15" hidden="false" customHeight="true" outlineLevel="0" collapsed="false">
      <c r="T74" s="3"/>
    </row>
    <row r="75" customFormat="false" ht="15" hidden="false" customHeight="true" outlineLevel="0" collapsed="false">
      <c r="T75" s="3"/>
    </row>
    <row r="76" customFormat="false" ht="15" hidden="false" customHeight="true" outlineLevel="0" collapsed="false">
      <c r="T76" s="3"/>
    </row>
    <row r="77" customFormat="false" ht="15" hidden="false" customHeight="true" outlineLevel="0" collapsed="false">
      <c r="T77" s="3"/>
    </row>
    <row r="78" customFormat="false" ht="15" hidden="false" customHeight="true" outlineLevel="0" collapsed="false">
      <c r="T78" s="3"/>
    </row>
    <row r="79" customFormat="false" ht="15" hidden="false" customHeight="true" outlineLevel="0" collapsed="false">
      <c r="T79" s="3"/>
    </row>
    <row r="80" customFormat="false" ht="15" hidden="false" customHeight="true" outlineLevel="0" collapsed="false">
      <c r="T80" s="3"/>
    </row>
    <row r="81" customFormat="false" ht="15" hidden="false" customHeight="true" outlineLevel="0" collapsed="false">
      <c r="T81" s="3"/>
    </row>
    <row r="82" customFormat="false" ht="15" hidden="false" customHeight="true" outlineLevel="0" collapsed="false">
      <c r="T82" s="3"/>
    </row>
    <row r="83" customFormat="false" ht="15" hidden="false" customHeight="true" outlineLevel="0" collapsed="false">
      <c r="T83" s="3"/>
    </row>
    <row r="84" customFormat="false" ht="15" hidden="false" customHeight="true" outlineLevel="0" collapsed="false">
      <c r="T84" s="3"/>
    </row>
    <row r="85" customFormat="false" ht="15" hidden="false" customHeight="true" outlineLevel="0" collapsed="false">
      <c r="T85" s="3"/>
    </row>
    <row r="86" customFormat="false" ht="15" hidden="false" customHeight="true" outlineLevel="0" collapsed="false">
      <c r="T86" s="3"/>
    </row>
    <row r="87" customFormat="false" ht="15" hidden="false" customHeight="true" outlineLevel="0" collapsed="false">
      <c r="T87" s="3"/>
    </row>
    <row r="88" customFormat="false" ht="15" hidden="false" customHeight="true" outlineLevel="0" collapsed="false">
      <c r="T88" s="3"/>
    </row>
    <row r="89" customFormat="false" ht="15" hidden="false" customHeight="true" outlineLevel="0" collapsed="false">
      <c r="T89" s="3"/>
    </row>
    <row r="90" customFormat="false" ht="15" hidden="false" customHeight="true" outlineLevel="0" collapsed="false">
      <c r="T90" s="3"/>
    </row>
    <row r="91" customFormat="false" ht="15" hidden="false" customHeight="true" outlineLevel="0" collapsed="false">
      <c r="T91" s="3"/>
    </row>
    <row r="92" customFormat="false" ht="15" hidden="false" customHeight="true" outlineLevel="0" collapsed="false">
      <c r="T92" s="3"/>
    </row>
    <row r="93" customFormat="false" ht="15" hidden="false" customHeight="true" outlineLevel="0" collapsed="false">
      <c r="T93" s="3"/>
    </row>
    <row r="94" customFormat="false" ht="15" hidden="false" customHeight="true" outlineLevel="0" collapsed="false">
      <c r="T94" s="3"/>
    </row>
    <row r="95" customFormat="false" ht="15" hidden="false" customHeight="true" outlineLevel="0" collapsed="false">
      <c r="T95" s="3"/>
    </row>
    <row r="96" customFormat="false" ht="15" hidden="false" customHeight="true" outlineLevel="0" collapsed="false">
      <c r="T96" s="3"/>
    </row>
    <row r="97" customFormat="false" ht="15" hidden="false" customHeight="true" outlineLevel="0" collapsed="false">
      <c r="T97" s="3"/>
    </row>
    <row r="98" customFormat="false" ht="15" hidden="false" customHeight="true" outlineLevel="0" collapsed="false">
      <c r="T98" s="3"/>
    </row>
    <row r="99" customFormat="false" ht="15" hidden="false" customHeight="true" outlineLevel="0" collapsed="false">
      <c r="T99" s="3"/>
    </row>
    <row r="100" customFormat="false" ht="15" hidden="false" customHeight="true" outlineLevel="0" collapsed="false">
      <c r="T100" s="3"/>
    </row>
    <row r="101" customFormat="false" ht="15" hidden="false" customHeight="true" outlineLevel="0" collapsed="false">
      <c r="T101" s="3"/>
    </row>
    <row r="102" customFormat="false" ht="15" hidden="false" customHeight="true" outlineLevel="0" collapsed="false">
      <c r="T102" s="3"/>
    </row>
    <row r="103" customFormat="false" ht="15" hidden="false" customHeight="true" outlineLevel="0" collapsed="false">
      <c r="T103" s="3"/>
    </row>
    <row r="104" customFormat="false" ht="15" hidden="false" customHeight="true" outlineLevel="0" collapsed="false">
      <c r="T104" s="3"/>
    </row>
    <row r="105" customFormat="false" ht="15" hidden="false" customHeight="true" outlineLevel="0" collapsed="false">
      <c r="T105" s="3"/>
    </row>
    <row r="106" customFormat="false" ht="15" hidden="false" customHeight="true" outlineLevel="0" collapsed="false">
      <c r="T106" s="3"/>
    </row>
    <row r="107" customFormat="false" ht="15" hidden="false" customHeight="true" outlineLevel="0" collapsed="false">
      <c r="T107" s="3"/>
    </row>
    <row r="108" customFormat="false" ht="15" hidden="false" customHeight="true" outlineLevel="0" collapsed="false">
      <c r="T108" s="3"/>
    </row>
    <row r="109" customFormat="false" ht="15" hidden="false" customHeight="true" outlineLevel="0" collapsed="false">
      <c r="T109" s="3"/>
    </row>
    <row r="110" customFormat="false" ht="15" hidden="false" customHeight="true" outlineLevel="0" collapsed="false">
      <c r="T110" s="3"/>
    </row>
    <row r="111" customFormat="false" ht="15" hidden="false" customHeight="true" outlineLevel="0" collapsed="false">
      <c r="T111" s="3"/>
    </row>
    <row r="112" customFormat="false" ht="15" hidden="false" customHeight="true" outlineLevel="0" collapsed="false">
      <c r="T112" s="3"/>
    </row>
    <row r="113" customFormat="false" ht="15" hidden="false" customHeight="true" outlineLevel="0" collapsed="false">
      <c r="T113" s="3"/>
    </row>
    <row r="114" customFormat="false" ht="15" hidden="false" customHeight="true" outlineLevel="0" collapsed="false">
      <c r="T114" s="3"/>
    </row>
    <row r="115" customFormat="false" ht="15" hidden="false" customHeight="true" outlineLevel="0" collapsed="false">
      <c r="T115" s="3"/>
    </row>
    <row r="116" customFormat="false" ht="15" hidden="false" customHeight="true" outlineLevel="0" collapsed="false">
      <c r="T116" s="3"/>
    </row>
    <row r="117" customFormat="false" ht="15" hidden="false" customHeight="true" outlineLevel="0" collapsed="false">
      <c r="T117" s="3"/>
    </row>
    <row r="118" customFormat="false" ht="15" hidden="false" customHeight="true" outlineLevel="0" collapsed="false">
      <c r="T118" s="3"/>
    </row>
    <row r="119" customFormat="false" ht="15" hidden="false" customHeight="true" outlineLevel="0" collapsed="false">
      <c r="T119" s="3"/>
    </row>
    <row r="120" customFormat="false" ht="15" hidden="false" customHeight="true" outlineLevel="0" collapsed="false">
      <c r="T120" s="3"/>
    </row>
    <row r="121" customFormat="false" ht="15" hidden="false" customHeight="true" outlineLevel="0" collapsed="false">
      <c r="T121" s="3"/>
    </row>
    <row r="122" customFormat="false" ht="15" hidden="false" customHeight="true" outlineLevel="0" collapsed="false">
      <c r="T122" s="3"/>
    </row>
    <row r="123" customFormat="false" ht="15" hidden="false" customHeight="true" outlineLevel="0" collapsed="false">
      <c r="T123" s="3"/>
    </row>
    <row r="124" customFormat="false" ht="15" hidden="false" customHeight="true" outlineLevel="0" collapsed="false">
      <c r="T124" s="3"/>
    </row>
    <row r="125" customFormat="false" ht="15" hidden="false" customHeight="true" outlineLevel="0" collapsed="false">
      <c r="T125" s="3"/>
    </row>
    <row r="126" customFormat="false" ht="15" hidden="false" customHeight="true" outlineLevel="0" collapsed="false">
      <c r="T126" s="3"/>
    </row>
    <row r="127" customFormat="false" ht="15" hidden="false" customHeight="true" outlineLevel="0" collapsed="false">
      <c r="T127" s="3"/>
    </row>
    <row r="128" customFormat="false" ht="15" hidden="false" customHeight="true" outlineLevel="0" collapsed="false">
      <c r="T128" s="3"/>
    </row>
    <row r="129" customFormat="false" ht="15" hidden="false" customHeight="true" outlineLevel="0" collapsed="false">
      <c r="T129" s="3"/>
    </row>
    <row r="130" customFormat="false" ht="15" hidden="false" customHeight="true" outlineLevel="0" collapsed="false">
      <c r="T130" s="3"/>
    </row>
    <row r="131" customFormat="false" ht="15" hidden="false" customHeight="true" outlineLevel="0" collapsed="false">
      <c r="T131" s="3"/>
    </row>
    <row r="132" customFormat="false" ht="15" hidden="false" customHeight="true" outlineLevel="0" collapsed="false">
      <c r="T132" s="3"/>
    </row>
    <row r="133" customFormat="false" ht="15" hidden="false" customHeight="true" outlineLevel="0" collapsed="false">
      <c r="T133" s="3"/>
    </row>
    <row r="134" customFormat="false" ht="15" hidden="false" customHeight="true" outlineLevel="0" collapsed="false">
      <c r="T134" s="3"/>
    </row>
    <row r="135" customFormat="false" ht="15" hidden="false" customHeight="true" outlineLevel="0" collapsed="false">
      <c r="T135" s="3"/>
    </row>
    <row r="136" customFormat="false" ht="15" hidden="false" customHeight="true" outlineLevel="0" collapsed="false">
      <c r="T136" s="3"/>
    </row>
    <row r="137" customFormat="false" ht="15" hidden="false" customHeight="true" outlineLevel="0" collapsed="false">
      <c r="T137" s="3"/>
    </row>
    <row r="138" customFormat="false" ht="15" hidden="false" customHeight="true" outlineLevel="0" collapsed="false">
      <c r="T138" s="3"/>
    </row>
    <row r="139" customFormat="false" ht="15" hidden="false" customHeight="true" outlineLevel="0" collapsed="false">
      <c r="T139" s="3"/>
    </row>
    <row r="140" customFormat="false" ht="15" hidden="false" customHeight="true" outlineLevel="0" collapsed="false">
      <c r="T140" s="3"/>
    </row>
    <row r="141" customFormat="false" ht="15" hidden="false" customHeight="true" outlineLevel="0" collapsed="false">
      <c r="T141" s="3"/>
    </row>
    <row r="142" customFormat="false" ht="15" hidden="false" customHeight="true" outlineLevel="0" collapsed="false">
      <c r="T142" s="3"/>
    </row>
    <row r="143" customFormat="false" ht="15" hidden="false" customHeight="true" outlineLevel="0" collapsed="false">
      <c r="T143" s="3"/>
    </row>
    <row r="144" customFormat="false" ht="15" hidden="false" customHeight="true" outlineLevel="0" collapsed="false">
      <c r="T144" s="3"/>
    </row>
    <row r="145" customFormat="false" ht="15" hidden="false" customHeight="true" outlineLevel="0" collapsed="false">
      <c r="T145" s="3"/>
    </row>
    <row r="146" customFormat="false" ht="15" hidden="false" customHeight="true" outlineLevel="0" collapsed="false">
      <c r="T146" s="3"/>
    </row>
    <row r="147" customFormat="false" ht="15" hidden="false" customHeight="true" outlineLevel="0" collapsed="false">
      <c r="T147" s="3"/>
    </row>
    <row r="148" customFormat="false" ht="15" hidden="false" customHeight="true" outlineLevel="0" collapsed="false">
      <c r="T148" s="3"/>
    </row>
    <row r="149" customFormat="false" ht="15" hidden="false" customHeight="true" outlineLevel="0" collapsed="false">
      <c r="T149" s="3"/>
    </row>
    <row r="150" customFormat="false" ht="15" hidden="false" customHeight="true" outlineLevel="0" collapsed="false">
      <c r="T150" s="3"/>
    </row>
    <row r="151" customFormat="false" ht="15" hidden="false" customHeight="true" outlineLevel="0" collapsed="false">
      <c r="T151" s="3"/>
    </row>
    <row r="152" customFormat="false" ht="15" hidden="false" customHeight="true" outlineLevel="0" collapsed="false">
      <c r="T152" s="3"/>
    </row>
    <row r="153" customFormat="false" ht="15" hidden="false" customHeight="true" outlineLevel="0" collapsed="false">
      <c r="T153" s="3"/>
    </row>
    <row r="154" customFormat="false" ht="15" hidden="false" customHeight="true" outlineLevel="0" collapsed="false">
      <c r="T154" s="3"/>
    </row>
    <row r="155" customFormat="false" ht="15" hidden="false" customHeight="true" outlineLevel="0" collapsed="false">
      <c r="T155" s="3"/>
    </row>
    <row r="156" customFormat="false" ht="15" hidden="false" customHeight="true" outlineLevel="0" collapsed="false">
      <c r="T156" s="3"/>
    </row>
    <row r="157" customFormat="false" ht="15" hidden="false" customHeight="true" outlineLevel="0" collapsed="false">
      <c r="T157" s="3"/>
    </row>
    <row r="158" customFormat="false" ht="15" hidden="false" customHeight="true" outlineLevel="0" collapsed="false">
      <c r="T158" s="3"/>
    </row>
    <row r="159" customFormat="false" ht="15" hidden="false" customHeight="true" outlineLevel="0" collapsed="false">
      <c r="T159" s="3"/>
    </row>
    <row r="160" customFormat="false" ht="15" hidden="false" customHeight="true" outlineLevel="0" collapsed="false">
      <c r="T160" s="3"/>
    </row>
    <row r="161" customFormat="false" ht="15" hidden="false" customHeight="true" outlineLevel="0" collapsed="false">
      <c r="T161" s="3"/>
    </row>
    <row r="162" customFormat="false" ht="15" hidden="false" customHeight="true" outlineLevel="0" collapsed="false">
      <c r="T162" s="3"/>
    </row>
    <row r="163" customFormat="false" ht="15" hidden="false" customHeight="true" outlineLevel="0" collapsed="false">
      <c r="T163" s="3"/>
    </row>
    <row r="164" customFormat="false" ht="15" hidden="false" customHeight="true" outlineLevel="0" collapsed="false">
      <c r="T164" s="3"/>
    </row>
    <row r="165" customFormat="false" ht="15" hidden="false" customHeight="true" outlineLevel="0" collapsed="false">
      <c r="T165" s="3"/>
    </row>
    <row r="166" customFormat="false" ht="15" hidden="false" customHeight="true" outlineLevel="0" collapsed="false">
      <c r="T166" s="3"/>
    </row>
    <row r="167" customFormat="false" ht="15" hidden="false" customHeight="true" outlineLevel="0" collapsed="false">
      <c r="T167" s="3"/>
    </row>
    <row r="168" customFormat="false" ht="15" hidden="false" customHeight="true" outlineLevel="0" collapsed="false">
      <c r="T168" s="3"/>
    </row>
    <row r="169" customFormat="false" ht="15" hidden="false" customHeight="true" outlineLevel="0" collapsed="false">
      <c r="T169" s="3"/>
    </row>
    <row r="170" customFormat="false" ht="15" hidden="false" customHeight="true" outlineLevel="0" collapsed="false">
      <c r="T170" s="3"/>
    </row>
    <row r="171" customFormat="false" ht="15" hidden="false" customHeight="true" outlineLevel="0" collapsed="false">
      <c r="T171" s="3"/>
    </row>
    <row r="172" customFormat="false" ht="15" hidden="false" customHeight="true" outlineLevel="0" collapsed="false">
      <c r="T172" s="3"/>
    </row>
    <row r="173" customFormat="false" ht="15" hidden="false" customHeight="true" outlineLevel="0" collapsed="false">
      <c r="T173" s="3"/>
    </row>
    <row r="174" customFormat="false" ht="15" hidden="false" customHeight="true" outlineLevel="0" collapsed="false">
      <c r="T174" s="3"/>
    </row>
    <row r="175" customFormat="false" ht="15" hidden="false" customHeight="true" outlineLevel="0" collapsed="false">
      <c r="T175" s="3"/>
    </row>
    <row r="176" customFormat="false" ht="15" hidden="false" customHeight="true" outlineLevel="0" collapsed="false">
      <c r="T176" s="3"/>
    </row>
    <row r="177" customFormat="false" ht="15" hidden="false" customHeight="true" outlineLevel="0" collapsed="false">
      <c r="T177" s="3"/>
    </row>
    <row r="178" customFormat="false" ht="15" hidden="false" customHeight="true" outlineLevel="0" collapsed="false">
      <c r="T178" s="3"/>
    </row>
    <row r="179" customFormat="false" ht="15" hidden="false" customHeight="true" outlineLevel="0" collapsed="false">
      <c r="T179" s="3"/>
    </row>
    <row r="180" customFormat="false" ht="15" hidden="false" customHeight="true" outlineLevel="0" collapsed="false">
      <c r="T180" s="3"/>
    </row>
    <row r="181" customFormat="false" ht="15" hidden="false" customHeight="true" outlineLevel="0" collapsed="false">
      <c r="T181" s="3"/>
    </row>
    <row r="182" customFormat="false" ht="15" hidden="false" customHeight="true" outlineLevel="0" collapsed="false">
      <c r="T182" s="3"/>
    </row>
    <row r="183" customFormat="false" ht="15" hidden="false" customHeight="true" outlineLevel="0" collapsed="false">
      <c r="T183" s="3"/>
    </row>
    <row r="184" customFormat="false" ht="15" hidden="false" customHeight="true" outlineLevel="0" collapsed="false">
      <c r="T184" s="3"/>
    </row>
    <row r="185" customFormat="false" ht="15" hidden="false" customHeight="true" outlineLevel="0" collapsed="false">
      <c r="T185" s="3"/>
    </row>
    <row r="186" customFormat="false" ht="15" hidden="false" customHeight="true" outlineLevel="0" collapsed="false">
      <c r="T186" s="3"/>
    </row>
    <row r="187" customFormat="false" ht="15" hidden="false" customHeight="true" outlineLevel="0" collapsed="false">
      <c r="T187" s="3"/>
    </row>
    <row r="188" customFormat="false" ht="15" hidden="false" customHeight="true" outlineLevel="0" collapsed="false">
      <c r="T188" s="3"/>
    </row>
    <row r="189" customFormat="false" ht="15" hidden="false" customHeight="true" outlineLevel="0" collapsed="false">
      <c r="T189" s="3"/>
    </row>
    <row r="190" customFormat="false" ht="15" hidden="false" customHeight="true" outlineLevel="0" collapsed="false">
      <c r="T190" s="3"/>
    </row>
    <row r="191" customFormat="false" ht="15" hidden="false" customHeight="true" outlineLevel="0" collapsed="false">
      <c r="T191" s="3"/>
    </row>
    <row r="192" customFormat="false" ht="15" hidden="false" customHeight="true" outlineLevel="0" collapsed="false">
      <c r="T192" s="3"/>
    </row>
    <row r="193" customFormat="false" ht="15" hidden="false" customHeight="true" outlineLevel="0" collapsed="false">
      <c r="T193" s="3"/>
    </row>
    <row r="194" customFormat="false" ht="15" hidden="false" customHeight="true" outlineLevel="0" collapsed="false">
      <c r="T194" s="3"/>
    </row>
    <row r="195" customFormat="false" ht="15" hidden="false" customHeight="true" outlineLevel="0" collapsed="false">
      <c r="T195" s="3"/>
    </row>
    <row r="196" customFormat="false" ht="15" hidden="false" customHeight="true" outlineLevel="0" collapsed="false">
      <c r="T196" s="3"/>
    </row>
    <row r="197" customFormat="false" ht="15" hidden="false" customHeight="true" outlineLevel="0" collapsed="false">
      <c r="T197" s="3"/>
    </row>
    <row r="198" customFormat="false" ht="15" hidden="false" customHeight="true" outlineLevel="0" collapsed="false">
      <c r="T198" s="3"/>
    </row>
    <row r="199" customFormat="false" ht="15" hidden="false" customHeight="true" outlineLevel="0" collapsed="false">
      <c r="T199" s="3"/>
    </row>
    <row r="200" customFormat="false" ht="15" hidden="false" customHeight="true" outlineLevel="0" collapsed="false">
      <c r="T200" s="3"/>
    </row>
    <row r="201" customFormat="false" ht="15" hidden="false" customHeight="true" outlineLevel="0" collapsed="false">
      <c r="T201" s="3"/>
    </row>
    <row r="202" customFormat="false" ht="15" hidden="false" customHeight="true" outlineLevel="0" collapsed="false">
      <c r="T202" s="3"/>
    </row>
    <row r="203" customFormat="false" ht="15" hidden="false" customHeight="true" outlineLevel="0" collapsed="false">
      <c r="T203" s="3"/>
    </row>
    <row r="204" customFormat="false" ht="15" hidden="false" customHeight="true" outlineLevel="0" collapsed="false">
      <c r="T204" s="3"/>
    </row>
    <row r="205" customFormat="false" ht="15" hidden="false" customHeight="true" outlineLevel="0" collapsed="false">
      <c r="T205" s="3"/>
    </row>
    <row r="206" customFormat="false" ht="15" hidden="false" customHeight="true" outlineLevel="0" collapsed="false">
      <c r="T206" s="3"/>
    </row>
    <row r="207" customFormat="false" ht="15" hidden="false" customHeight="true" outlineLevel="0" collapsed="false">
      <c r="T207" s="3"/>
    </row>
    <row r="208" customFormat="false" ht="15" hidden="false" customHeight="true" outlineLevel="0" collapsed="false">
      <c r="T208" s="3"/>
    </row>
    <row r="209" customFormat="false" ht="15" hidden="false" customHeight="true" outlineLevel="0" collapsed="false">
      <c r="T209" s="3"/>
    </row>
    <row r="210" customFormat="false" ht="15" hidden="false" customHeight="true" outlineLevel="0" collapsed="false">
      <c r="T210" s="3"/>
    </row>
    <row r="211" customFormat="false" ht="15" hidden="false" customHeight="true" outlineLevel="0" collapsed="false">
      <c r="T211" s="3"/>
    </row>
    <row r="212" customFormat="false" ht="15" hidden="false" customHeight="true" outlineLevel="0" collapsed="false">
      <c r="T212" s="3"/>
    </row>
    <row r="213" customFormat="false" ht="15" hidden="false" customHeight="true" outlineLevel="0" collapsed="false">
      <c r="T213" s="3"/>
    </row>
    <row r="214" customFormat="false" ht="15" hidden="false" customHeight="true" outlineLevel="0" collapsed="false">
      <c r="T214" s="3"/>
    </row>
    <row r="215" customFormat="false" ht="15" hidden="false" customHeight="true" outlineLevel="0" collapsed="false">
      <c r="T215" s="3"/>
    </row>
    <row r="216" customFormat="false" ht="15" hidden="false" customHeight="true" outlineLevel="0" collapsed="false">
      <c r="T216" s="3"/>
    </row>
    <row r="217" customFormat="false" ht="15" hidden="false" customHeight="true" outlineLevel="0" collapsed="false">
      <c r="T217" s="3"/>
    </row>
    <row r="218" customFormat="false" ht="15" hidden="false" customHeight="true" outlineLevel="0" collapsed="false">
      <c r="T218" s="3"/>
    </row>
    <row r="219" customFormat="false" ht="15" hidden="false" customHeight="true" outlineLevel="0" collapsed="false">
      <c r="T219" s="3"/>
    </row>
    <row r="220" customFormat="false" ht="15" hidden="false" customHeight="true" outlineLevel="0" collapsed="false">
      <c r="T220" s="3"/>
    </row>
    <row r="221" customFormat="false" ht="15" hidden="false" customHeight="true" outlineLevel="0" collapsed="false">
      <c r="T221" s="3"/>
    </row>
    <row r="222" customFormat="false" ht="15" hidden="false" customHeight="true" outlineLevel="0" collapsed="false">
      <c r="T222" s="3"/>
    </row>
    <row r="223" customFormat="false" ht="15" hidden="false" customHeight="true" outlineLevel="0" collapsed="false">
      <c r="T223" s="3"/>
    </row>
    <row r="224" customFormat="false" ht="15" hidden="false" customHeight="true" outlineLevel="0" collapsed="false">
      <c r="T224" s="3"/>
    </row>
    <row r="225" customFormat="false" ht="15" hidden="false" customHeight="true" outlineLevel="0" collapsed="false">
      <c r="T225" s="3"/>
    </row>
    <row r="226" customFormat="false" ht="15" hidden="false" customHeight="true" outlineLevel="0" collapsed="false">
      <c r="T226" s="3"/>
    </row>
    <row r="227" customFormat="false" ht="15" hidden="false" customHeight="true" outlineLevel="0" collapsed="false">
      <c r="T227" s="3"/>
    </row>
    <row r="228" customFormat="false" ht="15" hidden="false" customHeight="true" outlineLevel="0" collapsed="false">
      <c r="T228" s="3"/>
    </row>
    <row r="229" customFormat="false" ht="15" hidden="false" customHeight="true" outlineLevel="0" collapsed="false">
      <c r="T229" s="3"/>
    </row>
    <row r="230" customFormat="false" ht="15" hidden="false" customHeight="true" outlineLevel="0" collapsed="false">
      <c r="T230" s="3"/>
    </row>
    <row r="231" customFormat="false" ht="15" hidden="false" customHeight="true" outlineLevel="0" collapsed="false">
      <c r="T231" s="3"/>
    </row>
    <row r="232" customFormat="false" ht="15" hidden="false" customHeight="true" outlineLevel="0" collapsed="false">
      <c r="T232" s="3"/>
    </row>
    <row r="233" customFormat="false" ht="15" hidden="false" customHeight="true" outlineLevel="0" collapsed="false">
      <c r="T233" s="3"/>
    </row>
    <row r="234" customFormat="false" ht="15" hidden="false" customHeight="true" outlineLevel="0" collapsed="false">
      <c r="T234" s="3"/>
    </row>
    <row r="235" customFormat="false" ht="15" hidden="false" customHeight="true" outlineLevel="0" collapsed="false">
      <c r="T235" s="3"/>
    </row>
    <row r="236" customFormat="false" ht="15" hidden="false" customHeight="true" outlineLevel="0" collapsed="false">
      <c r="T236" s="3"/>
    </row>
    <row r="237" customFormat="false" ht="15" hidden="false" customHeight="true" outlineLevel="0" collapsed="false">
      <c r="T237" s="3"/>
    </row>
    <row r="238" customFormat="false" ht="15" hidden="false" customHeight="true" outlineLevel="0" collapsed="false">
      <c r="T238" s="3"/>
    </row>
    <row r="239" customFormat="false" ht="15" hidden="false" customHeight="true" outlineLevel="0" collapsed="false">
      <c r="T239" s="3"/>
    </row>
    <row r="240" customFormat="false" ht="15" hidden="false" customHeight="true" outlineLevel="0" collapsed="false">
      <c r="T240" s="3"/>
    </row>
    <row r="241" customFormat="false" ht="15" hidden="false" customHeight="true" outlineLevel="0" collapsed="false">
      <c r="T241" s="3"/>
    </row>
    <row r="242" customFormat="false" ht="15" hidden="false" customHeight="true" outlineLevel="0" collapsed="false">
      <c r="T242" s="3"/>
    </row>
    <row r="243" customFormat="false" ht="15" hidden="false" customHeight="true" outlineLevel="0" collapsed="false">
      <c r="T243" s="3"/>
    </row>
    <row r="244" customFormat="false" ht="15" hidden="false" customHeight="true" outlineLevel="0" collapsed="false">
      <c r="T244" s="3"/>
    </row>
    <row r="245" customFormat="false" ht="15" hidden="false" customHeight="true" outlineLevel="0" collapsed="false">
      <c r="T245" s="3"/>
    </row>
    <row r="246" customFormat="false" ht="15" hidden="false" customHeight="true" outlineLevel="0" collapsed="false">
      <c r="T246" s="3"/>
    </row>
    <row r="247" customFormat="false" ht="15" hidden="false" customHeight="true" outlineLevel="0" collapsed="false">
      <c r="T247" s="3"/>
    </row>
    <row r="248" customFormat="false" ht="15" hidden="false" customHeight="true" outlineLevel="0" collapsed="false">
      <c r="T248" s="3"/>
    </row>
    <row r="249" customFormat="false" ht="15" hidden="false" customHeight="true" outlineLevel="0" collapsed="false">
      <c r="T249" s="3"/>
    </row>
    <row r="250" customFormat="false" ht="15" hidden="false" customHeight="true" outlineLevel="0" collapsed="false">
      <c r="T250" s="3"/>
    </row>
    <row r="251" customFormat="false" ht="15" hidden="false" customHeight="true" outlineLevel="0" collapsed="false">
      <c r="T251" s="3"/>
    </row>
    <row r="252" customFormat="false" ht="15" hidden="false" customHeight="true" outlineLevel="0" collapsed="false">
      <c r="T252" s="3"/>
    </row>
    <row r="253" customFormat="false" ht="15" hidden="false" customHeight="true" outlineLevel="0" collapsed="false">
      <c r="T253" s="3"/>
    </row>
    <row r="254" customFormat="false" ht="15" hidden="false" customHeight="true" outlineLevel="0" collapsed="false">
      <c r="T254" s="3"/>
    </row>
    <row r="255" customFormat="false" ht="15" hidden="false" customHeight="true" outlineLevel="0" collapsed="false">
      <c r="T255" s="3"/>
    </row>
    <row r="256" customFormat="false" ht="15" hidden="false" customHeight="true" outlineLevel="0" collapsed="false">
      <c r="T256" s="3"/>
    </row>
    <row r="257" customFormat="false" ht="15" hidden="false" customHeight="true" outlineLevel="0" collapsed="false">
      <c r="T257" s="3"/>
    </row>
    <row r="258" customFormat="false" ht="15" hidden="false" customHeight="true" outlineLevel="0" collapsed="false">
      <c r="T258" s="3"/>
    </row>
    <row r="259" customFormat="false" ht="15" hidden="false" customHeight="true" outlineLevel="0" collapsed="false">
      <c r="T259" s="3"/>
    </row>
    <row r="260" customFormat="false" ht="15" hidden="false" customHeight="true" outlineLevel="0" collapsed="false">
      <c r="T260" s="3"/>
    </row>
    <row r="261" customFormat="false" ht="15" hidden="false" customHeight="true" outlineLevel="0" collapsed="false">
      <c r="T261" s="3"/>
    </row>
    <row r="262" customFormat="false" ht="15" hidden="false" customHeight="true" outlineLevel="0" collapsed="false">
      <c r="T262" s="3"/>
    </row>
    <row r="263" customFormat="false" ht="15" hidden="false" customHeight="true" outlineLevel="0" collapsed="false">
      <c r="T263" s="3"/>
    </row>
    <row r="264" customFormat="false" ht="15" hidden="false" customHeight="true" outlineLevel="0" collapsed="false">
      <c r="T264" s="3"/>
    </row>
    <row r="265" customFormat="false" ht="15" hidden="false" customHeight="true" outlineLevel="0" collapsed="false">
      <c r="T265" s="3"/>
    </row>
    <row r="266" customFormat="false" ht="15" hidden="false" customHeight="true" outlineLevel="0" collapsed="false">
      <c r="T266" s="3"/>
    </row>
    <row r="267" customFormat="false" ht="15" hidden="false" customHeight="true" outlineLevel="0" collapsed="false">
      <c r="T267" s="3"/>
    </row>
    <row r="268" customFormat="false" ht="15" hidden="false" customHeight="true" outlineLevel="0" collapsed="false">
      <c r="T268" s="3"/>
    </row>
    <row r="269" customFormat="false" ht="15" hidden="false" customHeight="true" outlineLevel="0" collapsed="false">
      <c r="T269" s="3"/>
    </row>
    <row r="270" customFormat="false" ht="15" hidden="false" customHeight="true" outlineLevel="0" collapsed="false">
      <c r="T270" s="3"/>
    </row>
    <row r="271" customFormat="false" ht="15" hidden="false" customHeight="true" outlineLevel="0" collapsed="false">
      <c r="T271" s="3"/>
    </row>
    <row r="272" customFormat="false" ht="15" hidden="false" customHeight="true" outlineLevel="0" collapsed="false">
      <c r="T272" s="3"/>
    </row>
    <row r="273" customFormat="false" ht="15" hidden="false" customHeight="true" outlineLevel="0" collapsed="false">
      <c r="T273" s="3"/>
    </row>
    <row r="274" customFormat="false" ht="15" hidden="false" customHeight="true" outlineLevel="0" collapsed="false">
      <c r="T274" s="3"/>
    </row>
    <row r="275" customFormat="false" ht="15" hidden="false" customHeight="true" outlineLevel="0" collapsed="false">
      <c r="T275" s="3"/>
    </row>
    <row r="276" customFormat="false" ht="15" hidden="false" customHeight="true" outlineLevel="0" collapsed="false">
      <c r="T276" s="3"/>
    </row>
    <row r="277" customFormat="false" ht="15" hidden="false" customHeight="true" outlineLevel="0" collapsed="false">
      <c r="T277" s="3"/>
    </row>
    <row r="278" customFormat="false" ht="15" hidden="false" customHeight="true" outlineLevel="0" collapsed="false">
      <c r="T278" s="3"/>
    </row>
    <row r="279" customFormat="false" ht="15" hidden="false" customHeight="true" outlineLevel="0" collapsed="false">
      <c r="T279" s="3"/>
    </row>
    <row r="280" customFormat="false" ht="15" hidden="false" customHeight="true" outlineLevel="0" collapsed="false">
      <c r="T280" s="3"/>
    </row>
    <row r="281" customFormat="false" ht="15" hidden="false" customHeight="true" outlineLevel="0" collapsed="false">
      <c r="T281" s="3"/>
    </row>
    <row r="282" customFormat="false" ht="15" hidden="false" customHeight="true" outlineLevel="0" collapsed="false">
      <c r="T282" s="3"/>
    </row>
    <row r="283" customFormat="false" ht="15" hidden="false" customHeight="true" outlineLevel="0" collapsed="false">
      <c r="T283" s="3"/>
    </row>
    <row r="284" customFormat="false" ht="15" hidden="false" customHeight="true" outlineLevel="0" collapsed="false">
      <c r="T284" s="3"/>
    </row>
    <row r="285" customFormat="false" ht="15" hidden="false" customHeight="true" outlineLevel="0" collapsed="false">
      <c r="T285" s="3"/>
    </row>
    <row r="286" customFormat="false" ht="15" hidden="false" customHeight="true" outlineLevel="0" collapsed="false">
      <c r="T286" s="3"/>
    </row>
    <row r="287" customFormat="false" ht="15" hidden="false" customHeight="true" outlineLevel="0" collapsed="false">
      <c r="T287" s="3"/>
    </row>
    <row r="288" customFormat="false" ht="15" hidden="false" customHeight="true" outlineLevel="0" collapsed="false">
      <c r="T288" s="3"/>
    </row>
    <row r="289" customFormat="false" ht="15" hidden="false" customHeight="true" outlineLevel="0" collapsed="false">
      <c r="T289" s="3"/>
    </row>
    <row r="290" customFormat="false" ht="15" hidden="false" customHeight="true" outlineLevel="0" collapsed="false">
      <c r="T290" s="3"/>
    </row>
    <row r="291" customFormat="false" ht="15" hidden="false" customHeight="true" outlineLevel="0" collapsed="false">
      <c r="T291" s="3"/>
    </row>
    <row r="292" customFormat="false" ht="15" hidden="false" customHeight="true" outlineLevel="0" collapsed="false">
      <c r="T292" s="3"/>
    </row>
    <row r="293" customFormat="false" ht="15" hidden="false" customHeight="true" outlineLevel="0" collapsed="false">
      <c r="T293" s="3"/>
    </row>
    <row r="294" customFormat="false" ht="15" hidden="false" customHeight="true" outlineLevel="0" collapsed="false">
      <c r="T294" s="3"/>
    </row>
    <row r="295" customFormat="false" ht="15" hidden="false" customHeight="true" outlineLevel="0" collapsed="false">
      <c r="T295" s="3"/>
    </row>
    <row r="296" customFormat="false" ht="15" hidden="false" customHeight="true" outlineLevel="0" collapsed="false">
      <c r="T296" s="3"/>
    </row>
    <row r="297" customFormat="false" ht="15" hidden="false" customHeight="true" outlineLevel="0" collapsed="false">
      <c r="T297" s="3"/>
    </row>
    <row r="298" customFormat="false" ht="15" hidden="false" customHeight="true" outlineLevel="0" collapsed="false">
      <c r="T298" s="3"/>
    </row>
    <row r="299" customFormat="false" ht="15" hidden="false" customHeight="true" outlineLevel="0" collapsed="false">
      <c r="T299" s="3"/>
    </row>
    <row r="300" customFormat="false" ht="15" hidden="false" customHeight="true" outlineLevel="0" collapsed="false">
      <c r="T300" s="3"/>
    </row>
    <row r="301" customFormat="false" ht="15" hidden="false" customHeight="true" outlineLevel="0" collapsed="false">
      <c r="T301" s="3"/>
    </row>
    <row r="302" customFormat="false" ht="15" hidden="false" customHeight="true" outlineLevel="0" collapsed="false">
      <c r="T302" s="3"/>
    </row>
    <row r="303" customFormat="false" ht="15" hidden="false" customHeight="true" outlineLevel="0" collapsed="false">
      <c r="T303" s="3"/>
    </row>
    <row r="304" customFormat="false" ht="15" hidden="false" customHeight="true" outlineLevel="0" collapsed="false">
      <c r="T304" s="3"/>
    </row>
    <row r="305" customFormat="false" ht="15" hidden="false" customHeight="true" outlineLevel="0" collapsed="false">
      <c r="T305" s="3"/>
    </row>
    <row r="306" customFormat="false" ht="15" hidden="false" customHeight="true" outlineLevel="0" collapsed="false">
      <c r="T306" s="3"/>
    </row>
    <row r="307" customFormat="false" ht="15" hidden="false" customHeight="true" outlineLevel="0" collapsed="false">
      <c r="T307" s="3"/>
    </row>
    <row r="308" customFormat="false" ht="15" hidden="false" customHeight="true" outlineLevel="0" collapsed="false">
      <c r="T308" s="3"/>
    </row>
    <row r="309" customFormat="false" ht="15" hidden="false" customHeight="true" outlineLevel="0" collapsed="false">
      <c r="T309" s="3"/>
    </row>
    <row r="310" customFormat="false" ht="15" hidden="false" customHeight="true" outlineLevel="0" collapsed="false">
      <c r="T310" s="3"/>
    </row>
    <row r="311" customFormat="false" ht="15" hidden="false" customHeight="true" outlineLevel="0" collapsed="false">
      <c r="T311" s="3"/>
    </row>
    <row r="312" customFormat="false" ht="15" hidden="false" customHeight="true" outlineLevel="0" collapsed="false">
      <c r="T312" s="3"/>
    </row>
    <row r="313" customFormat="false" ht="15" hidden="false" customHeight="true" outlineLevel="0" collapsed="false">
      <c r="T313" s="3"/>
    </row>
    <row r="314" customFormat="false" ht="15" hidden="false" customHeight="true" outlineLevel="0" collapsed="false">
      <c r="T314" s="3"/>
    </row>
    <row r="315" customFormat="false" ht="15" hidden="false" customHeight="true" outlineLevel="0" collapsed="false">
      <c r="T315" s="3"/>
    </row>
    <row r="316" customFormat="false" ht="15" hidden="false" customHeight="true" outlineLevel="0" collapsed="false">
      <c r="T316" s="3"/>
    </row>
    <row r="317" customFormat="false" ht="15" hidden="false" customHeight="true" outlineLevel="0" collapsed="false">
      <c r="T317" s="3"/>
    </row>
    <row r="318" customFormat="false" ht="15" hidden="false" customHeight="true" outlineLevel="0" collapsed="false">
      <c r="T318" s="3"/>
    </row>
    <row r="319" customFormat="false" ht="15" hidden="false" customHeight="true" outlineLevel="0" collapsed="false">
      <c r="T319" s="3"/>
    </row>
    <row r="320" customFormat="false" ht="15" hidden="false" customHeight="true" outlineLevel="0" collapsed="false">
      <c r="T320" s="3"/>
    </row>
    <row r="321" customFormat="false" ht="15" hidden="false" customHeight="true" outlineLevel="0" collapsed="false">
      <c r="T321" s="3"/>
    </row>
    <row r="322" customFormat="false" ht="15" hidden="false" customHeight="true" outlineLevel="0" collapsed="false">
      <c r="T322" s="3"/>
    </row>
    <row r="323" customFormat="false" ht="15" hidden="false" customHeight="true" outlineLevel="0" collapsed="false">
      <c r="T323" s="3"/>
    </row>
    <row r="324" customFormat="false" ht="15" hidden="false" customHeight="true" outlineLevel="0" collapsed="false">
      <c r="T324" s="3"/>
    </row>
    <row r="325" customFormat="false" ht="15" hidden="false" customHeight="true" outlineLevel="0" collapsed="false">
      <c r="T325" s="3"/>
    </row>
    <row r="326" customFormat="false" ht="15" hidden="false" customHeight="true" outlineLevel="0" collapsed="false">
      <c r="T326" s="3"/>
    </row>
    <row r="327" customFormat="false" ht="15" hidden="false" customHeight="true" outlineLevel="0" collapsed="false">
      <c r="T327" s="3"/>
    </row>
    <row r="328" customFormat="false" ht="15" hidden="false" customHeight="true" outlineLevel="0" collapsed="false">
      <c r="T328" s="3"/>
    </row>
    <row r="329" customFormat="false" ht="15" hidden="false" customHeight="true" outlineLevel="0" collapsed="false">
      <c r="T329" s="3"/>
    </row>
    <row r="330" customFormat="false" ht="15" hidden="false" customHeight="true" outlineLevel="0" collapsed="false">
      <c r="T330" s="3"/>
    </row>
    <row r="331" customFormat="false" ht="15" hidden="false" customHeight="true" outlineLevel="0" collapsed="false">
      <c r="T331" s="3"/>
    </row>
    <row r="332" customFormat="false" ht="15" hidden="false" customHeight="true" outlineLevel="0" collapsed="false">
      <c r="T332" s="3"/>
    </row>
    <row r="333" customFormat="false" ht="15" hidden="false" customHeight="true" outlineLevel="0" collapsed="false">
      <c r="T333" s="3"/>
    </row>
    <row r="334" customFormat="false" ht="15" hidden="false" customHeight="true" outlineLevel="0" collapsed="false">
      <c r="T334" s="3"/>
    </row>
    <row r="335" customFormat="false" ht="15" hidden="false" customHeight="true" outlineLevel="0" collapsed="false">
      <c r="T335" s="3"/>
    </row>
    <row r="336" customFormat="false" ht="15" hidden="false" customHeight="true" outlineLevel="0" collapsed="false">
      <c r="T336" s="3"/>
    </row>
    <row r="337" customFormat="false" ht="15" hidden="false" customHeight="true" outlineLevel="0" collapsed="false">
      <c r="T337" s="3"/>
    </row>
    <row r="338" customFormat="false" ht="15" hidden="false" customHeight="true" outlineLevel="0" collapsed="false">
      <c r="T338" s="3"/>
    </row>
    <row r="339" customFormat="false" ht="15" hidden="false" customHeight="true" outlineLevel="0" collapsed="false">
      <c r="T339" s="3"/>
    </row>
    <row r="340" customFormat="false" ht="15" hidden="false" customHeight="true" outlineLevel="0" collapsed="false">
      <c r="T340" s="3"/>
    </row>
    <row r="341" customFormat="false" ht="15" hidden="false" customHeight="true" outlineLevel="0" collapsed="false">
      <c r="T341" s="3"/>
    </row>
    <row r="342" customFormat="false" ht="15" hidden="false" customHeight="true" outlineLevel="0" collapsed="false">
      <c r="T342" s="3"/>
    </row>
    <row r="343" customFormat="false" ht="15" hidden="false" customHeight="true" outlineLevel="0" collapsed="false">
      <c r="T343" s="3"/>
    </row>
    <row r="344" customFormat="false" ht="15" hidden="false" customHeight="true" outlineLevel="0" collapsed="false">
      <c r="T344" s="3"/>
    </row>
    <row r="345" customFormat="false" ht="15" hidden="false" customHeight="true" outlineLevel="0" collapsed="false">
      <c r="T345" s="3"/>
    </row>
    <row r="346" customFormat="false" ht="15" hidden="false" customHeight="true" outlineLevel="0" collapsed="false">
      <c r="T346" s="3"/>
    </row>
    <row r="347" customFormat="false" ht="15" hidden="false" customHeight="true" outlineLevel="0" collapsed="false">
      <c r="T347" s="3"/>
    </row>
    <row r="348" customFormat="false" ht="15" hidden="false" customHeight="true" outlineLevel="0" collapsed="false">
      <c r="T348" s="3"/>
    </row>
    <row r="349" customFormat="false" ht="15" hidden="false" customHeight="true" outlineLevel="0" collapsed="false">
      <c r="T349" s="3"/>
    </row>
    <row r="350" customFormat="false" ht="15" hidden="false" customHeight="true" outlineLevel="0" collapsed="false">
      <c r="T350" s="3"/>
    </row>
    <row r="351" customFormat="false" ht="15" hidden="false" customHeight="true" outlineLevel="0" collapsed="false">
      <c r="T351" s="3"/>
    </row>
    <row r="352" customFormat="false" ht="15" hidden="false" customHeight="true" outlineLevel="0" collapsed="false">
      <c r="T352" s="3"/>
    </row>
    <row r="353" customFormat="false" ht="15" hidden="false" customHeight="true" outlineLevel="0" collapsed="false">
      <c r="T353" s="3"/>
    </row>
    <row r="354" customFormat="false" ht="15" hidden="false" customHeight="true" outlineLevel="0" collapsed="false">
      <c r="T354" s="3"/>
    </row>
    <row r="355" customFormat="false" ht="15" hidden="false" customHeight="true" outlineLevel="0" collapsed="false">
      <c r="T355" s="3"/>
    </row>
    <row r="356" customFormat="false" ht="15" hidden="false" customHeight="true" outlineLevel="0" collapsed="false">
      <c r="T356" s="3"/>
    </row>
    <row r="357" customFormat="false" ht="15" hidden="false" customHeight="true" outlineLevel="0" collapsed="false">
      <c r="T357" s="3"/>
    </row>
    <row r="358" customFormat="false" ht="15" hidden="false" customHeight="true" outlineLevel="0" collapsed="false">
      <c r="T358" s="3"/>
    </row>
    <row r="359" customFormat="false" ht="15" hidden="false" customHeight="true" outlineLevel="0" collapsed="false">
      <c r="T359" s="3"/>
    </row>
    <row r="360" customFormat="false" ht="15" hidden="false" customHeight="true" outlineLevel="0" collapsed="false">
      <c r="T360" s="3"/>
    </row>
    <row r="361" customFormat="false" ht="15" hidden="false" customHeight="true" outlineLevel="0" collapsed="false">
      <c r="T361" s="3"/>
    </row>
    <row r="362" customFormat="false" ht="15" hidden="false" customHeight="true" outlineLevel="0" collapsed="false">
      <c r="T362" s="3"/>
    </row>
    <row r="363" customFormat="false" ht="15" hidden="false" customHeight="true" outlineLevel="0" collapsed="false">
      <c r="T363" s="3"/>
    </row>
    <row r="364" customFormat="false" ht="15" hidden="false" customHeight="true" outlineLevel="0" collapsed="false">
      <c r="T364" s="3"/>
    </row>
    <row r="365" customFormat="false" ht="15" hidden="false" customHeight="true" outlineLevel="0" collapsed="false">
      <c r="T365" s="3"/>
    </row>
    <row r="366" customFormat="false" ht="15" hidden="false" customHeight="true" outlineLevel="0" collapsed="false">
      <c r="T366" s="3"/>
    </row>
    <row r="367" customFormat="false" ht="15" hidden="false" customHeight="true" outlineLevel="0" collapsed="false">
      <c r="T367" s="3"/>
    </row>
    <row r="368" customFormat="false" ht="15" hidden="false" customHeight="true" outlineLevel="0" collapsed="false">
      <c r="T368" s="3"/>
    </row>
    <row r="369" customFormat="false" ht="15" hidden="false" customHeight="true" outlineLevel="0" collapsed="false">
      <c r="T369" s="3"/>
    </row>
    <row r="370" customFormat="false" ht="15" hidden="false" customHeight="true" outlineLevel="0" collapsed="false">
      <c r="T370" s="3"/>
    </row>
    <row r="371" customFormat="false" ht="15" hidden="false" customHeight="true" outlineLevel="0" collapsed="false">
      <c r="T371" s="3"/>
    </row>
    <row r="372" customFormat="false" ht="15" hidden="false" customHeight="true" outlineLevel="0" collapsed="false">
      <c r="T372" s="3"/>
    </row>
    <row r="373" customFormat="false" ht="15" hidden="false" customHeight="true" outlineLevel="0" collapsed="false">
      <c r="T373" s="3"/>
    </row>
    <row r="374" customFormat="false" ht="15" hidden="false" customHeight="true" outlineLevel="0" collapsed="false">
      <c r="T374" s="3"/>
    </row>
    <row r="375" customFormat="false" ht="15" hidden="false" customHeight="true" outlineLevel="0" collapsed="false">
      <c r="T375" s="3"/>
    </row>
    <row r="376" customFormat="false" ht="15" hidden="false" customHeight="true" outlineLevel="0" collapsed="false">
      <c r="T376" s="3"/>
    </row>
    <row r="377" customFormat="false" ht="15" hidden="false" customHeight="true" outlineLevel="0" collapsed="false">
      <c r="T377" s="3"/>
    </row>
    <row r="378" customFormat="false" ht="15" hidden="false" customHeight="true" outlineLevel="0" collapsed="false">
      <c r="T378" s="3"/>
    </row>
    <row r="379" customFormat="false" ht="15" hidden="false" customHeight="true" outlineLevel="0" collapsed="false">
      <c r="T379" s="3"/>
    </row>
    <row r="380" customFormat="false" ht="15" hidden="false" customHeight="true" outlineLevel="0" collapsed="false">
      <c r="T380" s="3"/>
    </row>
    <row r="381" customFormat="false" ht="15" hidden="false" customHeight="true" outlineLevel="0" collapsed="false">
      <c r="T381" s="3"/>
    </row>
    <row r="382" customFormat="false" ht="15" hidden="false" customHeight="true" outlineLevel="0" collapsed="false">
      <c r="T382" s="3"/>
    </row>
    <row r="383" customFormat="false" ht="15" hidden="false" customHeight="true" outlineLevel="0" collapsed="false">
      <c r="T383" s="3"/>
    </row>
    <row r="384" customFormat="false" ht="15" hidden="false" customHeight="true" outlineLevel="0" collapsed="false">
      <c r="T384" s="3"/>
    </row>
    <row r="385" customFormat="false" ht="15" hidden="false" customHeight="true" outlineLevel="0" collapsed="false">
      <c r="T385" s="3"/>
    </row>
    <row r="386" customFormat="false" ht="15" hidden="false" customHeight="true" outlineLevel="0" collapsed="false">
      <c r="T386" s="3"/>
    </row>
    <row r="387" customFormat="false" ht="15" hidden="false" customHeight="true" outlineLevel="0" collapsed="false">
      <c r="T387" s="3"/>
    </row>
    <row r="388" customFormat="false" ht="15" hidden="false" customHeight="true" outlineLevel="0" collapsed="false">
      <c r="T388" s="3"/>
    </row>
    <row r="389" customFormat="false" ht="15" hidden="false" customHeight="true" outlineLevel="0" collapsed="false">
      <c r="T389" s="3"/>
    </row>
    <row r="390" customFormat="false" ht="15" hidden="false" customHeight="true" outlineLevel="0" collapsed="false">
      <c r="T390" s="3"/>
    </row>
    <row r="391" customFormat="false" ht="15" hidden="false" customHeight="true" outlineLevel="0" collapsed="false">
      <c r="T391" s="3"/>
    </row>
    <row r="392" customFormat="false" ht="15" hidden="false" customHeight="true" outlineLevel="0" collapsed="false">
      <c r="T392" s="3"/>
    </row>
    <row r="393" customFormat="false" ht="15" hidden="false" customHeight="true" outlineLevel="0" collapsed="false">
      <c r="T393" s="3"/>
    </row>
    <row r="394" customFormat="false" ht="15" hidden="false" customHeight="true" outlineLevel="0" collapsed="false">
      <c r="T394" s="3"/>
    </row>
    <row r="395" customFormat="false" ht="15" hidden="false" customHeight="true" outlineLevel="0" collapsed="false">
      <c r="T395" s="3"/>
    </row>
    <row r="396" customFormat="false" ht="15" hidden="false" customHeight="true" outlineLevel="0" collapsed="false">
      <c r="T396" s="3"/>
    </row>
    <row r="397" customFormat="false" ht="15" hidden="false" customHeight="true" outlineLevel="0" collapsed="false">
      <c r="T397" s="3"/>
    </row>
    <row r="398" customFormat="false" ht="15" hidden="false" customHeight="true" outlineLevel="0" collapsed="false">
      <c r="T398" s="3"/>
    </row>
    <row r="399" customFormat="false" ht="15" hidden="false" customHeight="true" outlineLevel="0" collapsed="false">
      <c r="T399" s="3"/>
    </row>
    <row r="400" customFormat="false" ht="15" hidden="false" customHeight="true" outlineLevel="0" collapsed="false">
      <c r="T400" s="3"/>
    </row>
    <row r="401" customFormat="false" ht="15" hidden="false" customHeight="true" outlineLevel="0" collapsed="false">
      <c r="T401" s="3"/>
    </row>
    <row r="402" customFormat="false" ht="15" hidden="false" customHeight="true" outlineLevel="0" collapsed="false">
      <c r="T402" s="3"/>
    </row>
    <row r="403" customFormat="false" ht="15" hidden="false" customHeight="true" outlineLevel="0" collapsed="false">
      <c r="T403" s="3"/>
    </row>
    <row r="404" customFormat="false" ht="15" hidden="false" customHeight="true" outlineLevel="0" collapsed="false">
      <c r="T404" s="3"/>
    </row>
    <row r="405" customFormat="false" ht="15" hidden="false" customHeight="true" outlineLevel="0" collapsed="false">
      <c r="T405" s="3"/>
    </row>
    <row r="406" customFormat="false" ht="15" hidden="false" customHeight="true" outlineLevel="0" collapsed="false">
      <c r="T406" s="3"/>
    </row>
    <row r="407" customFormat="false" ht="15" hidden="false" customHeight="true" outlineLevel="0" collapsed="false">
      <c r="T407" s="3"/>
    </row>
    <row r="408" customFormat="false" ht="15" hidden="false" customHeight="true" outlineLevel="0" collapsed="false">
      <c r="T408" s="3"/>
    </row>
    <row r="409" customFormat="false" ht="15" hidden="false" customHeight="true" outlineLevel="0" collapsed="false">
      <c r="T409" s="3"/>
    </row>
    <row r="410" customFormat="false" ht="15" hidden="false" customHeight="true" outlineLevel="0" collapsed="false">
      <c r="T410" s="3"/>
    </row>
    <row r="411" customFormat="false" ht="15" hidden="false" customHeight="true" outlineLevel="0" collapsed="false">
      <c r="T411" s="3"/>
    </row>
    <row r="412" customFormat="false" ht="15" hidden="false" customHeight="true" outlineLevel="0" collapsed="false">
      <c r="T412" s="3"/>
    </row>
    <row r="413" customFormat="false" ht="15" hidden="false" customHeight="true" outlineLevel="0" collapsed="false">
      <c r="T413" s="3"/>
    </row>
    <row r="414" customFormat="false" ht="15" hidden="false" customHeight="true" outlineLevel="0" collapsed="false">
      <c r="T414" s="3"/>
    </row>
    <row r="415" customFormat="false" ht="15" hidden="false" customHeight="true" outlineLevel="0" collapsed="false">
      <c r="T415" s="3"/>
    </row>
    <row r="416" customFormat="false" ht="15" hidden="false" customHeight="true" outlineLevel="0" collapsed="false">
      <c r="T416" s="3"/>
    </row>
    <row r="417" customFormat="false" ht="15" hidden="false" customHeight="true" outlineLevel="0" collapsed="false">
      <c r="T417" s="3"/>
    </row>
    <row r="418" customFormat="false" ht="15" hidden="false" customHeight="true" outlineLevel="0" collapsed="false">
      <c r="T418" s="3"/>
    </row>
    <row r="419" customFormat="false" ht="15" hidden="false" customHeight="true" outlineLevel="0" collapsed="false">
      <c r="T419" s="3"/>
    </row>
    <row r="420" customFormat="false" ht="15" hidden="false" customHeight="true" outlineLevel="0" collapsed="false">
      <c r="T420" s="3"/>
    </row>
    <row r="421" customFormat="false" ht="15" hidden="false" customHeight="true" outlineLevel="0" collapsed="false">
      <c r="T421" s="3"/>
    </row>
    <row r="422" customFormat="false" ht="15" hidden="false" customHeight="true" outlineLevel="0" collapsed="false">
      <c r="T422" s="3"/>
    </row>
    <row r="423" customFormat="false" ht="15" hidden="false" customHeight="true" outlineLevel="0" collapsed="false">
      <c r="T423" s="3"/>
    </row>
    <row r="424" customFormat="false" ht="15" hidden="false" customHeight="true" outlineLevel="0" collapsed="false">
      <c r="T424" s="3"/>
    </row>
    <row r="425" customFormat="false" ht="15" hidden="false" customHeight="true" outlineLevel="0" collapsed="false">
      <c r="T425" s="3"/>
    </row>
    <row r="426" customFormat="false" ht="15" hidden="false" customHeight="true" outlineLevel="0" collapsed="false">
      <c r="T426" s="3"/>
    </row>
    <row r="427" customFormat="false" ht="15" hidden="false" customHeight="true" outlineLevel="0" collapsed="false">
      <c r="T427" s="3"/>
    </row>
    <row r="428" customFormat="false" ht="15" hidden="false" customHeight="true" outlineLevel="0" collapsed="false">
      <c r="T428" s="3"/>
    </row>
    <row r="429" customFormat="false" ht="15" hidden="false" customHeight="true" outlineLevel="0" collapsed="false">
      <c r="T429" s="3"/>
    </row>
    <row r="430" customFormat="false" ht="15" hidden="false" customHeight="true" outlineLevel="0" collapsed="false">
      <c r="T430" s="3"/>
    </row>
    <row r="431" customFormat="false" ht="15" hidden="false" customHeight="true" outlineLevel="0" collapsed="false">
      <c r="T431" s="3"/>
    </row>
    <row r="432" customFormat="false" ht="15" hidden="false" customHeight="true" outlineLevel="0" collapsed="false">
      <c r="T432" s="3"/>
    </row>
    <row r="433" customFormat="false" ht="15" hidden="false" customHeight="true" outlineLevel="0" collapsed="false">
      <c r="T433" s="3"/>
    </row>
    <row r="434" customFormat="false" ht="15" hidden="false" customHeight="true" outlineLevel="0" collapsed="false">
      <c r="T434" s="3"/>
    </row>
    <row r="435" customFormat="false" ht="15" hidden="false" customHeight="true" outlineLevel="0" collapsed="false">
      <c r="T435" s="3"/>
    </row>
    <row r="436" customFormat="false" ht="15" hidden="false" customHeight="true" outlineLevel="0" collapsed="false">
      <c r="T436" s="3"/>
    </row>
    <row r="437" customFormat="false" ht="15" hidden="false" customHeight="true" outlineLevel="0" collapsed="false">
      <c r="T437" s="3"/>
    </row>
    <row r="438" customFormat="false" ht="15" hidden="false" customHeight="true" outlineLevel="0" collapsed="false">
      <c r="T438" s="3"/>
    </row>
    <row r="439" customFormat="false" ht="15" hidden="false" customHeight="true" outlineLevel="0" collapsed="false">
      <c r="T439" s="3"/>
    </row>
    <row r="440" customFormat="false" ht="15" hidden="false" customHeight="true" outlineLevel="0" collapsed="false">
      <c r="T440" s="3"/>
    </row>
    <row r="441" customFormat="false" ht="15" hidden="false" customHeight="true" outlineLevel="0" collapsed="false">
      <c r="T441" s="3"/>
    </row>
    <row r="442" customFormat="false" ht="15" hidden="false" customHeight="true" outlineLevel="0" collapsed="false">
      <c r="T442" s="3"/>
    </row>
    <row r="443" customFormat="false" ht="15" hidden="false" customHeight="true" outlineLevel="0" collapsed="false">
      <c r="T443" s="3"/>
    </row>
    <row r="444" customFormat="false" ht="15" hidden="false" customHeight="true" outlineLevel="0" collapsed="false">
      <c r="T444" s="3"/>
    </row>
    <row r="445" customFormat="false" ht="15" hidden="false" customHeight="true" outlineLevel="0" collapsed="false">
      <c r="T445" s="3"/>
    </row>
    <row r="446" customFormat="false" ht="15" hidden="false" customHeight="true" outlineLevel="0" collapsed="false">
      <c r="T446" s="3"/>
    </row>
    <row r="447" customFormat="false" ht="15" hidden="false" customHeight="true" outlineLevel="0" collapsed="false">
      <c r="T447" s="3"/>
    </row>
    <row r="448" customFormat="false" ht="15" hidden="false" customHeight="true" outlineLevel="0" collapsed="false">
      <c r="T448" s="3"/>
    </row>
    <row r="449" customFormat="false" ht="15" hidden="false" customHeight="true" outlineLevel="0" collapsed="false">
      <c r="T449" s="3"/>
    </row>
    <row r="450" customFormat="false" ht="15" hidden="false" customHeight="true" outlineLevel="0" collapsed="false">
      <c r="T450" s="3"/>
    </row>
    <row r="451" customFormat="false" ht="15" hidden="false" customHeight="true" outlineLevel="0" collapsed="false">
      <c r="T451" s="3"/>
    </row>
    <row r="452" customFormat="false" ht="15" hidden="false" customHeight="true" outlineLevel="0" collapsed="false">
      <c r="T452" s="3"/>
    </row>
    <row r="453" customFormat="false" ht="15" hidden="false" customHeight="true" outlineLevel="0" collapsed="false">
      <c r="T453" s="3"/>
    </row>
    <row r="454" customFormat="false" ht="15" hidden="false" customHeight="true" outlineLevel="0" collapsed="false">
      <c r="T454" s="3"/>
    </row>
    <row r="455" customFormat="false" ht="15" hidden="false" customHeight="true" outlineLevel="0" collapsed="false">
      <c r="T455" s="3"/>
    </row>
    <row r="456" customFormat="false" ht="15" hidden="false" customHeight="true" outlineLevel="0" collapsed="false">
      <c r="T456" s="3"/>
    </row>
    <row r="457" customFormat="false" ht="15" hidden="false" customHeight="true" outlineLevel="0" collapsed="false">
      <c r="T457" s="3"/>
    </row>
    <row r="458" customFormat="false" ht="15" hidden="false" customHeight="true" outlineLevel="0" collapsed="false">
      <c r="T458" s="3"/>
    </row>
    <row r="459" customFormat="false" ht="15" hidden="false" customHeight="true" outlineLevel="0" collapsed="false">
      <c r="T459" s="3"/>
    </row>
    <row r="460" customFormat="false" ht="15" hidden="false" customHeight="true" outlineLevel="0" collapsed="false">
      <c r="T460" s="3"/>
    </row>
    <row r="461" customFormat="false" ht="15" hidden="false" customHeight="true" outlineLevel="0" collapsed="false">
      <c r="T461" s="3"/>
    </row>
    <row r="462" customFormat="false" ht="15" hidden="false" customHeight="true" outlineLevel="0" collapsed="false">
      <c r="T462" s="3"/>
    </row>
    <row r="463" customFormat="false" ht="15" hidden="false" customHeight="true" outlineLevel="0" collapsed="false">
      <c r="T463" s="3"/>
    </row>
    <row r="464" customFormat="false" ht="15" hidden="false" customHeight="true" outlineLevel="0" collapsed="false">
      <c r="T464" s="3"/>
    </row>
    <row r="465" customFormat="false" ht="15" hidden="false" customHeight="true" outlineLevel="0" collapsed="false">
      <c r="T465" s="3"/>
    </row>
    <row r="466" customFormat="false" ht="15" hidden="false" customHeight="true" outlineLevel="0" collapsed="false">
      <c r="T466" s="3"/>
    </row>
    <row r="467" customFormat="false" ht="15" hidden="false" customHeight="true" outlineLevel="0" collapsed="false">
      <c r="T467" s="3"/>
    </row>
    <row r="468" customFormat="false" ht="15" hidden="false" customHeight="true" outlineLevel="0" collapsed="false">
      <c r="T468" s="3"/>
    </row>
    <row r="469" customFormat="false" ht="15" hidden="false" customHeight="true" outlineLevel="0" collapsed="false">
      <c r="T469" s="3"/>
    </row>
    <row r="470" customFormat="false" ht="15" hidden="false" customHeight="true" outlineLevel="0" collapsed="false">
      <c r="T470" s="3"/>
    </row>
    <row r="471" customFormat="false" ht="15" hidden="false" customHeight="true" outlineLevel="0" collapsed="false">
      <c r="T471" s="3"/>
    </row>
    <row r="472" customFormat="false" ht="15" hidden="false" customHeight="true" outlineLevel="0" collapsed="false">
      <c r="T472" s="3"/>
    </row>
    <row r="473" customFormat="false" ht="15" hidden="false" customHeight="true" outlineLevel="0" collapsed="false">
      <c r="T473" s="3"/>
    </row>
    <row r="474" customFormat="false" ht="15" hidden="false" customHeight="true" outlineLevel="0" collapsed="false">
      <c r="T474" s="3"/>
    </row>
    <row r="475" customFormat="false" ht="15" hidden="false" customHeight="true" outlineLevel="0" collapsed="false">
      <c r="T475" s="3"/>
    </row>
    <row r="476" customFormat="false" ht="15" hidden="false" customHeight="true" outlineLevel="0" collapsed="false">
      <c r="T476" s="3"/>
    </row>
    <row r="477" customFormat="false" ht="15" hidden="false" customHeight="true" outlineLevel="0" collapsed="false">
      <c r="T477" s="3"/>
    </row>
    <row r="478" customFormat="false" ht="15" hidden="false" customHeight="true" outlineLevel="0" collapsed="false">
      <c r="T478" s="3"/>
    </row>
    <row r="479" customFormat="false" ht="15" hidden="false" customHeight="true" outlineLevel="0" collapsed="false">
      <c r="T479" s="3"/>
    </row>
    <row r="480" customFormat="false" ht="15" hidden="false" customHeight="true" outlineLevel="0" collapsed="false">
      <c r="T480" s="3"/>
    </row>
    <row r="481" customFormat="false" ht="15" hidden="false" customHeight="true" outlineLevel="0" collapsed="false">
      <c r="T481" s="3"/>
    </row>
    <row r="482" customFormat="false" ht="15" hidden="false" customHeight="true" outlineLevel="0" collapsed="false">
      <c r="T482" s="3"/>
    </row>
    <row r="483" customFormat="false" ht="15" hidden="false" customHeight="true" outlineLevel="0" collapsed="false">
      <c r="T483" s="3"/>
    </row>
    <row r="484" customFormat="false" ht="15" hidden="false" customHeight="true" outlineLevel="0" collapsed="false">
      <c r="T484" s="3"/>
    </row>
    <row r="485" customFormat="false" ht="15" hidden="false" customHeight="true" outlineLevel="0" collapsed="false">
      <c r="T485" s="3"/>
    </row>
    <row r="486" customFormat="false" ht="15" hidden="false" customHeight="true" outlineLevel="0" collapsed="false">
      <c r="T486" s="3"/>
    </row>
    <row r="487" customFormat="false" ht="15" hidden="false" customHeight="true" outlineLevel="0" collapsed="false">
      <c r="T487" s="3"/>
    </row>
    <row r="488" customFormat="false" ht="15" hidden="false" customHeight="true" outlineLevel="0" collapsed="false">
      <c r="T488" s="3"/>
    </row>
    <row r="489" customFormat="false" ht="15" hidden="false" customHeight="true" outlineLevel="0" collapsed="false">
      <c r="T489" s="3"/>
    </row>
    <row r="490" customFormat="false" ht="15" hidden="false" customHeight="true" outlineLevel="0" collapsed="false">
      <c r="T490" s="3"/>
    </row>
    <row r="491" customFormat="false" ht="15" hidden="false" customHeight="true" outlineLevel="0" collapsed="false">
      <c r="T491" s="3"/>
    </row>
    <row r="492" customFormat="false" ht="15" hidden="false" customHeight="true" outlineLevel="0" collapsed="false">
      <c r="T492" s="3"/>
    </row>
    <row r="493" customFormat="false" ht="15" hidden="false" customHeight="true" outlineLevel="0" collapsed="false">
      <c r="T493" s="3"/>
    </row>
    <row r="494" customFormat="false" ht="15" hidden="false" customHeight="true" outlineLevel="0" collapsed="false">
      <c r="T494" s="3"/>
    </row>
    <row r="495" customFormat="false" ht="15" hidden="false" customHeight="true" outlineLevel="0" collapsed="false">
      <c r="T495" s="3"/>
    </row>
    <row r="496" customFormat="false" ht="15" hidden="false" customHeight="true" outlineLevel="0" collapsed="false">
      <c r="T496" s="3"/>
    </row>
    <row r="497" customFormat="false" ht="15" hidden="false" customHeight="true" outlineLevel="0" collapsed="false">
      <c r="T497" s="3"/>
    </row>
    <row r="498" customFormat="false" ht="15" hidden="false" customHeight="true" outlineLevel="0" collapsed="false">
      <c r="T498" s="3"/>
    </row>
    <row r="499" customFormat="false" ht="15" hidden="false" customHeight="true" outlineLevel="0" collapsed="false">
      <c r="T499" s="3"/>
    </row>
    <row r="500" customFormat="false" ht="15" hidden="false" customHeight="true" outlineLevel="0" collapsed="false">
      <c r="T500" s="3"/>
    </row>
    <row r="501" customFormat="false" ht="15" hidden="false" customHeight="true" outlineLevel="0" collapsed="false">
      <c r="T501" s="3"/>
    </row>
  </sheetData>
  <autoFilter ref="A1:Z501"/>
  <dataValidations count="17">
    <dataValidation allowBlank="true" errorStyle="stop" operator="between" showDropDown="false" showErrorMessage="false" showInputMessage="false" sqref="B2:B501" type="list">
      <formula1>"submission,comment"</formula1>
      <formula2>0</formula2>
    </dataValidation>
    <dataValidation allowBlank="true" errorStyle="stop" operator="between" showDropDown="false" showErrorMessage="false" showInputMessage="false" sqref="C2:C501" type="list">
      <formula1>"reddit,twitter,other"</formula1>
      <formula2>0</formula2>
    </dataValidation>
    <dataValidation allowBlank="true" errorStyle="stop" operator="between" showDropDown="false" showErrorMessage="false" showInputMessage="false" sqref="K2:K501" type="list">
      <formula1>"include,exclude,uncertain"</formula1>
      <formula2>0</formula2>
    </dataValidation>
    <dataValidation allowBlank="true" errorStyle="stop" operator="between" showDropDown="false" showErrorMessage="false" showInputMessage="false" sqref="L2:L501" type="list">
      <formula1>"negative,neutral,positive,mixed"</formula1>
      <formula2>0</formula2>
    </dataValidation>
    <dataValidation allowBlank="true" errorStyle="stop" operator="between" showDropDown="false" showErrorMessage="false" showInputMessage="false" sqref="S2:S501" type="list">
      <formula1>"uniform,NFL,broadcaster,team,other,unclear"</formula1>
      <formula2>0</formula2>
    </dataValidation>
    <dataValidation allowBlank="true" errorStyle="stop" operator="between" showDropDown="false" showErrorMessage="false" showInputMessage="false" sqref="X2:X501" type="list">
      <formula1>"high,medium,low"</formula1>
      <formula2>0</formula2>
    </dataValidation>
    <dataValidation allowBlank="true" errorStyle="stop" operator="between" showDropDown="false" showErrorMessage="false" showInputMessage="false" sqref="M2:M501" type="list">
      <formula1>"0,1"</formula1>
      <formula2>0</formula2>
    </dataValidation>
    <dataValidation allowBlank="true" errorStyle="stop" operator="between" showDropDown="false" showErrorMessage="false" showInputMessage="false" sqref="N2:N501" type="list">
      <formula1>"0,1"</formula1>
      <formula2>0</formula2>
    </dataValidation>
    <dataValidation allowBlank="true" errorStyle="stop" operator="between" showDropDown="false" showErrorMessage="false" showInputMessage="false" sqref="O2:O501" type="list">
      <formula1>"0,1"</formula1>
      <formula2>0</formula2>
    </dataValidation>
    <dataValidation allowBlank="true" errorStyle="stop" operator="between" showDropDown="false" showErrorMessage="false" showInputMessage="false" sqref="P2:P501" type="list">
      <formula1>"0,1"</formula1>
      <formula2>0</formula2>
    </dataValidation>
    <dataValidation allowBlank="true" errorStyle="stop" operator="between" showDropDown="false" showErrorMessage="false" showInputMessage="false" sqref="Q2:Q501" type="list">
      <formula1>"0,1"</formula1>
      <formula2>0</formula2>
    </dataValidation>
    <dataValidation allowBlank="true" errorStyle="stop" operator="between" showDropDown="false" showErrorMessage="false" showInputMessage="false" sqref="R2:R501" type="list">
      <formula1>"0,1"</formula1>
      <formula2>0</formula2>
    </dataValidation>
    <dataValidation allowBlank="true" errorStyle="stop" operator="between" showDropDown="false" showErrorMessage="false" showInputMessage="false" sqref="H2:H501" type="list">
      <formula1>"0,1"</formula1>
      <formula2>0</formula2>
    </dataValidation>
    <dataValidation allowBlank="true" errorStyle="stop" operator="between" showDropDown="false" showErrorMessage="false" showInputMessage="false" sqref="U2:U501" type="list">
      <formula1>"0,1"</formula1>
      <formula2>0</formula2>
    </dataValidation>
    <dataValidation allowBlank="true" errorStyle="stop" operator="between" showDropDown="false" showErrorMessage="false" showInputMessage="false" sqref="V2:V501" type="list">
      <formula1>"0,1"</formula1>
      <formula2>0</formula2>
    </dataValidation>
    <dataValidation allowBlank="true" error="Use a game_id from Accessibility_Audit (G01-G32), or leave blank." errorStyle="stop" errorTitle="game_id" operator="between" showDropDown="false" showErrorMessage="false" showInputMessage="false" sqref="G2:G501" type="custom">
      <formula1>OR(G2="",COUNTIF(Accessibility_Audit!$A$2:$A$33,G2)&gt;0)</formula1>
      <formula2>0</formula2>
    </dataValidation>
    <dataValidation allowBlank="true" errorStyle="stop" operator="between" showDropDown="false" showErrorMessage="false" showInputMessage="false" sqref="Z2:Z501" type="list">
      <formula1>"A_bills_jets_2015,B_other_games,C_general_program"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12"/>
    <col collapsed="false" customWidth="true" hidden="false" outlineLevel="0" max="3" min="3" style="1" width="18"/>
    <col collapsed="false" customWidth="true" hidden="false" outlineLevel="0" max="4" min="4" style="1" width="34"/>
    <col collapsed="false" customWidth="true" hidden="false" outlineLevel="0" max="5" min="5" style="1" width="14"/>
    <col collapsed="false" customWidth="true" hidden="false" outlineLevel="0" max="6" min="6" style="1" width="20"/>
    <col collapsed="false" customWidth="true" hidden="false" outlineLevel="0" max="9" min="7" style="1" width="12"/>
    <col collapsed="false" customWidth="true" hidden="false" outlineLevel="0" max="10" min="10" style="1" width="44"/>
  </cols>
  <sheetData>
    <row r="1" customFormat="false" ht="31.5" hidden="false" customHeight="true" outlineLevel="0" collapsed="false">
      <c r="A1" s="5" t="s">
        <v>370</v>
      </c>
      <c r="B1" s="5" t="s">
        <v>371</v>
      </c>
      <c r="C1" s="5" t="s">
        <v>372</v>
      </c>
      <c r="D1" s="5" t="s">
        <v>373</v>
      </c>
      <c r="E1" s="5" t="s">
        <v>374</v>
      </c>
      <c r="F1" s="5" t="s">
        <v>375</v>
      </c>
      <c r="G1" s="5" t="s">
        <v>376</v>
      </c>
      <c r="H1" s="5" t="s">
        <v>377</v>
      </c>
      <c r="I1" s="5" t="s">
        <v>378</v>
      </c>
      <c r="J1" s="5" t="s">
        <v>368</v>
      </c>
    </row>
  </sheetData>
  <dataValidations count="1">
    <dataValidation allowBlank="true" errorStyle="stop" operator="between" showDropDown="false" showErrorMessage="false" showInputMessage="false" sqref="C2:C201" type="list">
      <formula1>"Reddit search,Arctic Shift,Wayback Machine,other"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3" min="2" style="1" width="11"/>
    <col collapsed="false" customWidth="true" hidden="false" outlineLevel="0" max="5" min="4" style="1" width="12"/>
    <col collapsed="false" customWidth="true" hidden="false" outlineLevel="0" max="7" min="6" style="1" width="14"/>
    <col collapsed="false" customWidth="true" hidden="false" outlineLevel="0" max="8" min="8" style="1" width="40"/>
  </cols>
  <sheetData>
    <row r="1" customFormat="false" ht="45" hidden="false" customHeight="true" outlineLevel="0" collapsed="false">
      <c r="A1" s="5" t="s">
        <v>345</v>
      </c>
      <c r="B1" s="5" t="s">
        <v>379</v>
      </c>
      <c r="C1" s="5" t="s">
        <v>380</v>
      </c>
      <c r="D1" s="5" t="s">
        <v>381</v>
      </c>
      <c r="E1" s="5" t="s">
        <v>382</v>
      </c>
      <c r="F1" s="5" t="s">
        <v>383</v>
      </c>
      <c r="G1" s="5" t="s">
        <v>384</v>
      </c>
      <c r="H1" s="5" t="s">
        <v>368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20"/>
  </cols>
  <sheetData>
    <row r="1" customFormat="false" ht="19.5" hidden="false" customHeight="true" outlineLevel="0" collapsed="false">
      <c r="A1" s="5" t="s">
        <v>0</v>
      </c>
      <c r="B1" s="5" t="s">
        <v>1</v>
      </c>
    </row>
    <row r="2" customFormat="false" ht="15" hidden="false" customHeight="true" outlineLevel="0" collapsed="false">
      <c r="A2" s="3" t="s">
        <v>385</v>
      </c>
      <c r="B2" s="3" t="s">
        <v>386</v>
      </c>
    </row>
    <row r="3" customFormat="false" ht="15" hidden="false" customHeight="true" outlineLevel="0" collapsed="false">
      <c r="A3" s="3" t="s">
        <v>387</v>
      </c>
      <c r="B3" s="3" t="s">
        <v>388</v>
      </c>
    </row>
    <row r="4" customFormat="false" ht="27.75" hidden="false" customHeight="true" outlineLevel="0" collapsed="false">
      <c r="A4" s="3" t="s">
        <v>389</v>
      </c>
      <c r="B4" s="3" t="s">
        <v>390</v>
      </c>
    </row>
    <row r="5" customFormat="false" ht="41.25" hidden="false" customHeight="true" outlineLevel="0" collapsed="false">
      <c r="A5" s="3" t="s">
        <v>391</v>
      </c>
      <c r="B5" s="3" t="s">
        <v>392</v>
      </c>
    </row>
    <row r="6" customFormat="false" ht="27.75" hidden="false" customHeight="true" outlineLevel="0" collapsed="false">
      <c r="A6" s="3" t="s">
        <v>393</v>
      </c>
      <c r="B6" s="3" t="s">
        <v>394</v>
      </c>
    </row>
    <row r="7" customFormat="false" ht="27.75" hidden="false" customHeight="true" outlineLevel="0" collapsed="false">
      <c r="A7" s="3" t="s">
        <v>395</v>
      </c>
      <c r="B7" s="3" t="s">
        <v>396</v>
      </c>
    </row>
    <row r="8" customFormat="false" ht="27.75" hidden="false" customHeight="true" outlineLevel="0" collapsed="false">
      <c r="A8" s="3" t="s">
        <v>397</v>
      </c>
      <c r="B8" s="3" t="s">
        <v>398</v>
      </c>
    </row>
    <row r="9" customFormat="false" ht="54.75" hidden="false" customHeight="true" outlineLevel="0" collapsed="false">
      <c r="A9" s="3" t="s">
        <v>399</v>
      </c>
      <c r="B9" s="3" t="s">
        <v>400</v>
      </c>
    </row>
    <row r="10" customFormat="false" ht="41.25" hidden="false" customHeight="true" outlineLevel="0" collapsed="false">
      <c r="A10" s="3" t="s">
        <v>401</v>
      </c>
      <c r="B10" s="3" t="s">
        <v>402</v>
      </c>
    </row>
    <row r="11" customFormat="false" ht="15" hidden="false" customHeight="true" outlineLevel="0" collapsed="false">
      <c r="A11" s="3" t="s">
        <v>351</v>
      </c>
      <c r="B11" s="3" t="s">
        <v>403</v>
      </c>
    </row>
    <row r="12" customFormat="false" ht="27.75" hidden="false" customHeight="true" outlineLevel="0" collapsed="false">
      <c r="A12" s="3" t="s">
        <v>404</v>
      </c>
      <c r="B12" s="3" t="s">
        <v>405</v>
      </c>
    </row>
    <row r="13" customFormat="false" ht="27.75" hidden="false" customHeight="true" outlineLevel="0" collapsed="false">
      <c r="A13" s="3" t="s">
        <v>406</v>
      </c>
      <c r="B13" s="3" t="s">
        <v>407</v>
      </c>
    </row>
    <row r="14" customFormat="false" ht="41.25" hidden="false" customHeight="true" outlineLevel="0" collapsed="false">
      <c r="A14" s="3" t="s">
        <v>408</v>
      </c>
      <c r="B14" s="3" t="s">
        <v>409</v>
      </c>
    </row>
    <row r="15" customFormat="false" ht="27.75" hidden="false" customHeight="true" outlineLevel="0" collapsed="false">
      <c r="A15" s="3" t="s">
        <v>410</v>
      </c>
      <c r="B15" s="3" t="s">
        <v>411</v>
      </c>
    </row>
    <row r="16" customFormat="false" ht="27.75" hidden="false" customHeight="true" outlineLevel="0" collapsed="false">
      <c r="A16" s="3" t="s">
        <v>412</v>
      </c>
      <c r="B16" s="3" t="s">
        <v>413</v>
      </c>
    </row>
    <row r="17" customFormat="false" ht="81.75" hidden="false" customHeight="true" outlineLevel="0" collapsed="false">
      <c r="A17" s="3" t="s">
        <v>414</v>
      </c>
      <c r="B17" s="3" t="s">
        <v>415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16"/>
    <col collapsed="false" customWidth="true" hidden="false" outlineLevel="0" max="3" min="3" style="1" width="60"/>
    <col collapsed="false" customWidth="true" hidden="false" outlineLevel="0" max="4" min="4" style="1" width="16"/>
    <col collapsed="false" customWidth="true" hidden="false" outlineLevel="0" max="6" min="5" style="1" width="18"/>
    <col collapsed="false" customWidth="true" hidden="false" outlineLevel="0" max="7" min="7" style="1" width="20"/>
  </cols>
  <sheetData>
    <row r="1" customFormat="false" ht="15.75" hidden="false" customHeight="true" outlineLevel="0" collapsed="false">
      <c r="A1" s="6" t="s">
        <v>416</v>
      </c>
    </row>
    <row r="2" customFormat="false" ht="31.5" hidden="false" customHeight="true" outlineLevel="0" collapsed="false">
      <c r="A2" s="7" t="s">
        <v>417</v>
      </c>
      <c r="B2" s="7"/>
      <c r="C2" s="7"/>
      <c r="D2" s="7"/>
      <c r="E2" s="7"/>
      <c r="F2" s="7"/>
      <c r="G2" s="7"/>
    </row>
    <row r="4" customFormat="false" ht="15" hidden="false" customHeight="true" outlineLevel="0" collapsed="false">
      <c r="A4" s="5" t="s">
        <v>418</v>
      </c>
      <c r="B4" s="5" t="s">
        <v>419</v>
      </c>
      <c r="C4" s="5" t="s">
        <v>420</v>
      </c>
    </row>
    <row r="5" customFormat="false" ht="27.75" hidden="false" customHeight="true" outlineLevel="0" collapsed="false">
      <c r="A5" s="1" t="s">
        <v>421</v>
      </c>
      <c r="B5" s="8" t="n">
        <v>10</v>
      </c>
      <c r="C5" s="9" t="s">
        <v>422</v>
      </c>
    </row>
    <row r="6" customFormat="false" ht="15" hidden="false" customHeight="true" outlineLevel="0" collapsed="false">
      <c r="A6" s="1" t="s">
        <v>423</v>
      </c>
      <c r="B6" s="8" t="n">
        <v>50</v>
      </c>
    </row>
    <row r="7" customFormat="false" ht="15" hidden="false" customHeight="true" outlineLevel="0" collapsed="false">
      <c r="A7" s="1" t="s">
        <v>424</v>
      </c>
      <c r="B7" s="8" t="n">
        <v>100</v>
      </c>
    </row>
    <row r="8" customFormat="false" ht="15" hidden="false" customHeight="true" outlineLevel="0" collapsed="false">
      <c r="A8" s="1" t="s">
        <v>425</v>
      </c>
      <c r="B8" s="8" t="n">
        <v>8</v>
      </c>
    </row>
    <row r="9" customFormat="false" ht="15" hidden="false" customHeight="true" outlineLevel="0" collapsed="false">
      <c r="A9" s="1" t="s">
        <v>426</v>
      </c>
      <c r="B9" s="8" t="n">
        <v>12</v>
      </c>
    </row>
    <row r="10" customFormat="false" ht="15" hidden="false" customHeight="true" outlineLevel="0" collapsed="false">
      <c r="A10" s="1" t="s">
        <v>427</v>
      </c>
      <c r="B10" s="8" t="n">
        <v>10</v>
      </c>
    </row>
    <row r="11" customFormat="false" ht="15" hidden="false" customHeight="true" outlineLevel="0" collapsed="false">
      <c r="A11" s="1" t="s">
        <v>428</v>
      </c>
      <c r="B11" s="8" t="n">
        <v>20</v>
      </c>
    </row>
    <row r="13" customFormat="false" ht="15" hidden="false" customHeight="true" outlineLevel="0" collapsed="false">
      <c r="A13" s="5" t="s">
        <v>429</v>
      </c>
      <c r="B13" s="5" t="s">
        <v>430</v>
      </c>
      <c r="C13" s="5" t="s">
        <v>420</v>
      </c>
    </row>
    <row r="14" customFormat="false" ht="15" hidden="false" customHeight="true" outlineLevel="0" collapsed="false">
      <c r="A14" s="1" t="s">
        <v>431</v>
      </c>
      <c r="B14" s="1" t="n">
        <f aca="false">COUNTA(Search_Log!$A$2:$A$201)</f>
        <v>0</v>
      </c>
      <c r="C14" s="1" t="str">
        <f aca="false">IF(B14&lt;B8,"below target",IF(B14&gt;B9,"above target","within target"))</f>
        <v>below target</v>
      </c>
    </row>
    <row r="15" customFormat="false" ht="15" hidden="false" customHeight="true" outlineLevel="0" collapsed="false">
      <c r="A15" s="1" t="s">
        <v>432</v>
      </c>
      <c r="B15" s="1" t="n">
        <f aca="false">COUNTA(Sentiment_Coding!$A$2:$A$501)</f>
        <v>0</v>
      </c>
    </row>
    <row r="16" customFormat="false" ht="15" hidden="false" customHeight="true" outlineLevel="0" collapsed="false">
      <c r="A16" s="1" t="s">
        <v>433</v>
      </c>
      <c r="B16" s="1" t="n">
        <f aca="false">COUNTIFS(Sentiment_Coding!$A$2:$A$501,"&lt;&gt;",Sentiment_Coding!$K$2:$K$501,"exclude")</f>
        <v>0</v>
      </c>
    </row>
    <row r="17" customFormat="false" ht="15" hidden="false" customHeight="true" outlineLevel="0" collapsed="false">
      <c r="A17" s="1" t="s">
        <v>434</v>
      </c>
      <c r="B17" s="1" t="n">
        <f aca="false">COUNTIFS(Sentiment_Coding!$A$2:$A$501,"&lt;&gt;",Sentiment_Coding!$K$2:$K$501,"uncertain")</f>
        <v>0</v>
      </c>
      <c r="C17" s="1" t="s">
        <v>435</v>
      </c>
    </row>
    <row r="18" customFormat="false" ht="15" hidden="false" customHeight="true" outlineLevel="0" collapsed="false">
      <c r="A18" s="1" t="s">
        <v>436</v>
      </c>
      <c r="B18" s="1" t="n">
        <f aca="false">COUNTIFS(Sentiment_Coding!$A$2:$A$501,"&lt;&gt;",Sentiment_Coding!$U$2:$U$501,1)</f>
        <v>0</v>
      </c>
    </row>
    <row r="19" customFormat="false" ht="15" hidden="false" customHeight="true" outlineLevel="0" collapsed="false">
      <c r="A19" s="1" t="s">
        <v>437</v>
      </c>
      <c r="B19" s="1" t="n">
        <f aca="false">COUNTIFS(Sentiment_Coding!$A$2:$A$501,"&lt;&gt;",Sentiment_Coding!$K$2:$K$501,"include",Sentiment_Coding!$U$2:$U$501,"&lt;&gt;1")</f>
        <v>0</v>
      </c>
      <c r="C19" s="1" t="str">
        <f aca="false">IF(B19&lt;B6,"below pilot minimum",IF(B19&gt;B7,"above pilot maximum","within pilot range"))</f>
        <v>below pilot minimum</v>
      </c>
    </row>
    <row r="20" customFormat="false" ht="15" hidden="false" customHeight="true" outlineLevel="0" collapsed="false">
      <c r="A20" s="1" t="s">
        <v>438</v>
      </c>
      <c r="B20" s="1" t="n">
        <f aca="false">SUMPRODUCT((Sentiment_Coding!$F$2:$F$501&lt;&gt;"")*(Sentiment_Coding!$K$2:$K$501="include")*(Sentiment_Coding!$U$2:$U$501&lt;&gt;1)/(COUNTIFS(Sentiment_Coding!$F$2:$F$501,Sentiment_Coding!$F$2:$F$501&amp;"",Sentiment_Coding!$K$2:$K$501,"include",Sentiment_Coding!$U$2:$U$501,"&lt;&gt;1")+1-(Sentiment_Coding!$F$2:$F$501&lt;&gt;"")*(Sentiment_Coding!$K$2:$K$501="include")*(Sentiment_Coding!$U$2:$U$501&lt;&gt;1)))</f>
        <v>0</v>
      </c>
    </row>
    <row r="21" customFormat="false" ht="15" hidden="false" customHeight="true" outlineLevel="0" collapsed="false">
      <c r="A21" s="1" t="s">
        <v>439</v>
      </c>
      <c r="B21" s="1" t="n">
        <f aca="false">SUMPRODUCT(MAX((Sentiment_Coding!$F$2:$F$501&lt;&gt;"")*(Sentiment_Coding!$K$2:$K$501="include")*(Sentiment_Coding!$U$2:$U$501&lt;&gt;1)*COUNTIFS(Sentiment_Coding!$F$2:$F$501,Sentiment_Coding!$F$2:$F$501&amp;"",Sentiment_Coding!$K$2:$K$501,"include",Sentiment_Coding!$U$2:$U$501,"&lt;&gt;1")))</f>
        <v>0</v>
      </c>
      <c r="C21" s="1" t="str">
        <f aca="false">IF(B21&gt;B5,"CAP EXCEEDED: trim before analysis","ok")</f>
        <v>ok</v>
      </c>
    </row>
    <row r="22" customFormat="false" ht="15" hidden="false" customHeight="true" outlineLevel="0" collapsed="false">
      <c r="A22" s="1" t="s">
        <v>440</v>
      </c>
      <c r="B22" s="1" t="n">
        <f aca="false">COUNTA(Reliability_Check!$A$2:$A$201)</f>
        <v>0</v>
      </c>
      <c r="C22" s="1" t="str">
        <f aca="false">IF(B22&lt;B10,"below target",IF(B22&gt;B11,"above target","within target"))</f>
        <v>below target</v>
      </c>
    </row>
    <row r="24" customFormat="false" ht="41.25" hidden="false" customHeight="true" outlineLevel="0" collapsed="false">
      <c r="A24" s="5" t="s">
        <v>441</v>
      </c>
      <c r="B24" s="5" t="s">
        <v>442</v>
      </c>
      <c r="C24" s="5" t="s">
        <v>443</v>
      </c>
      <c r="D24" s="5" t="s">
        <v>444</v>
      </c>
      <c r="E24" s="5" t="s">
        <v>445</v>
      </c>
      <c r="F24" s="5" t="s">
        <v>446</v>
      </c>
      <c r="G24" s="5" t="s">
        <v>447</v>
      </c>
    </row>
    <row r="25" customFormat="false" ht="15" hidden="false" customHeight="true" outlineLevel="0" collapsed="false">
      <c r="A25" s="1" t="s">
        <v>448</v>
      </c>
      <c r="B25" s="8" t="n">
        <v>25</v>
      </c>
      <c r="C25" s="1" t="n">
        <f aca="false">COUNTIFS(Sentiment_Coding!$Z$2:$Z$501,$A25,Sentiment_Coding!$K$2:$K$501,"include",Sentiment_Coding!$U$2:$U$501,"&lt;&gt;1")</f>
        <v>0</v>
      </c>
      <c r="D25" s="1" t="n">
        <f aca="false">SUMPRODUCT((Sentiment_Coding!$Z$2:$Z$501=$A25)*(Sentiment_Coding!$K$2:$K$501="include")*(Sentiment_Coding!$U$2:$U$501&lt;&gt;1)*(Sentiment_Coding!$F$2:$F$501&lt;&gt;"")/(COUNTIFS(Sentiment_Coding!$F$2:$F$501,Sentiment_Coding!$F$2:$F$501&amp;"",Sentiment_Coding!$Z$2:$Z$501,$A25,Sentiment_Coding!$K$2:$K$501,"include",Sentiment_Coding!$U$2:$U$501,"&lt;&gt;1")+1-(Sentiment_Coding!$Z$2:$Z$501=$A25)*(Sentiment_Coding!$K$2:$K$501="include")*(Sentiment_Coding!$U$2:$U$501&lt;&gt;1)*(Sentiment_Coding!$F$2:$F$501&lt;&gt;"")))</f>
        <v>0</v>
      </c>
      <c r="E25" s="10" t="str">
        <f aca="false">IF(C25=0,"",COUNTIFS(Sentiment_Coding!$Z$2:$Z$501,$A25,Sentiment_Coding!$K$2:$K$501,"include",Sentiment_Coding!$U$2:$U$501,"&lt;&gt;1",Sentiment_Coding!$N$2:$N$501,1)/C25)</f>
        <v/>
      </c>
      <c r="F25" s="10" t="str">
        <f aca="false">IF(C25=0,"",COUNTIFS(Sentiment_Coding!$Z$2:$Z$501,$A25,Sentiment_Coding!$K$2:$K$501,"include",Sentiment_Coding!$U$2:$U$501,"&lt;&gt;1",Sentiment_Coding!$M$2:$M$501,1)/C25)</f>
        <v/>
      </c>
      <c r="G25" s="1" t="str">
        <f aca="false">IF(C25&gt;=B25,"target met","need "&amp;(B25-C25)&amp;" more")</f>
        <v>need 25 more</v>
      </c>
    </row>
    <row r="26" customFormat="false" ht="15" hidden="false" customHeight="true" outlineLevel="0" collapsed="false">
      <c r="A26" s="1" t="s">
        <v>449</v>
      </c>
      <c r="B26" s="8" t="n">
        <v>35</v>
      </c>
      <c r="C26" s="1" t="n">
        <f aca="false">COUNTIFS(Sentiment_Coding!$Z$2:$Z$501,$A26,Sentiment_Coding!$K$2:$K$501,"include",Sentiment_Coding!$U$2:$U$501,"&lt;&gt;1")</f>
        <v>0</v>
      </c>
      <c r="D26" s="1" t="n">
        <f aca="false">SUMPRODUCT((Sentiment_Coding!$Z$2:$Z$501=$A26)*(Sentiment_Coding!$K$2:$K$501="include")*(Sentiment_Coding!$U$2:$U$501&lt;&gt;1)*(Sentiment_Coding!$F$2:$F$501&lt;&gt;"")/(COUNTIFS(Sentiment_Coding!$F$2:$F$501,Sentiment_Coding!$F$2:$F$501&amp;"",Sentiment_Coding!$Z$2:$Z$501,$A26,Sentiment_Coding!$K$2:$K$501,"include",Sentiment_Coding!$U$2:$U$501,"&lt;&gt;1")+1-(Sentiment_Coding!$Z$2:$Z$501=$A26)*(Sentiment_Coding!$K$2:$K$501="include")*(Sentiment_Coding!$U$2:$U$501&lt;&gt;1)*(Sentiment_Coding!$F$2:$F$501&lt;&gt;"")))</f>
        <v>0</v>
      </c>
      <c r="E26" s="10" t="str">
        <f aca="false">IF(C26=0,"",COUNTIFS(Sentiment_Coding!$Z$2:$Z$501,$A26,Sentiment_Coding!$K$2:$K$501,"include",Sentiment_Coding!$U$2:$U$501,"&lt;&gt;1",Sentiment_Coding!$N$2:$N$501,1)/C26)</f>
        <v/>
      </c>
      <c r="F26" s="10" t="str">
        <f aca="false">IF(C26=0,"",COUNTIFS(Sentiment_Coding!$Z$2:$Z$501,$A26,Sentiment_Coding!$K$2:$K$501,"include",Sentiment_Coding!$U$2:$U$501,"&lt;&gt;1",Sentiment_Coding!$M$2:$M$501,1)/C26)</f>
        <v/>
      </c>
      <c r="G26" s="1" t="str">
        <f aca="false">IF(C26&gt;=B26,"target met","need "&amp;(B26-C26)&amp;" more")</f>
        <v>need 35 more</v>
      </c>
    </row>
    <row r="27" customFormat="false" ht="15" hidden="false" customHeight="true" outlineLevel="0" collapsed="false">
      <c r="A27" s="1" t="s">
        <v>450</v>
      </c>
      <c r="B27" s="8" t="n">
        <v>20</v>
      </c>
      <c r="C27" s="1" t="n">
        <f aca="false">COUNTIFS(Sentiment_Coding!$Z$2:$Z$501,$A27,Sentiment_Coding!$K$2:$K$501,"include",Sentiment_Coding!$U$2:$U$501,"&lt;&gt;1")</f>
        <v>0</v>
      </c>
      <c r="D27" s="1" t="n">
        <f aca="false">SUMPRODUCT((Sentiment_Coding!$Z$2:$Z$501=$A27)*(Sentiment_Coding!$K$2:$K$501="include")*(Sentiment_Coding!$U$2:$U$501&lt;&gt;1)*(Sentiment_Coding!$F$2:$F$501&lt;&gt;"")/(COUNTIFS(Sentiment_Coding!$F$2:$F$501,Sentiment_Coding!$F$2:$F$501&amp;"",Sentiment_Coding!$Z$2:$Z$501,$A27,Sentiment_Coding!$K$2:$K$501,"include",Sentiment_Coding!$U$2:$U$501,"&lt;&gt;1")+1-(Sentiment_Coding!$Z$2:$Z$501=$A27)*(Sentiment_Coding!$K$2:$K$501="include")*(Sentiment_Coding!$U$2:$U$501&lt;&gt;1)*(Sentiment_Coding!$F$2:$F$501&lt;&gt;"")))</f>
        <v>0</v>
      </c>
      <c r="E27" s="10" t="str">
        <f aca="false">IF(C27=0,"",COUNTIFS(Sentiment_Coding!$Z$2:$Z$501,$A27,Sentiment_Coding!$K$2:$K$501,"include",Sentiment_Coding!$U$2:$U$501,"&lt;&gt;1",Sentiment_Coding!$N$2:$N$501,1)/C27)</f>
        <v/>
      </c>
      <c r="F27" s="10" t="str">
        <f aca="false">IF(C27=0,"",COUNTIFS(Sentiment_Coding!$Z$2:$Z$501,$A27,Sentiment_Coding!$K$2:$K$501,"include",Sentiment_Coding!$U$2:$U$501,"&lt;&gt;1",Sentiment_Coding!$M$2:$M$501,1)/C27)</f>
        <v/>
      </c>
      <c r="G27" s="1" t="str">
        <f aca="false">IF(C27&gt;=B27,"target met","need "&amp;(B27-C27)&amp;" more")</f>
        <v>need 20 more</v>
      </c>
    </row>
    <row r="28" customFormat="false" ht="15" hidden="false" customHeight="true" outlineLevel="0" collapsed="false">
      <c r="A28" s="11" t="s">
        <v>451</v>
      </c>
      <c r="B28" s="1" t="n">
        <f aca="false">SUM(B25:B27)</f>
        <v>80</v>
      </c>
      <c r="C28" s="1" t="n">
        <f aca="false">SUM(C25:C27)</f>
        <v>0</v>
      </c>
    </row>
    <row r="29" customFormat="false" ht="31.5" hidden="false" customHeight="true" outlineLevel="0" collapsed="false">
      <c r="A29" s="7" t="s">
        <v>452</v>
      </c>
      <c r="B29" s="7"/>
      <c r="C29" s="7"/>
      <c r="D29" s="7"/>
      <c r="E29" s="7"/>
      <c r="F29" s="7"/>
      <c r="G29" s="7"/>
    </row>
    <row r="30" customFormat="false" ht="31.5" hidden="false" customHeight="true" outlineLevel="0" collapsed="false">
      <c r="A30" s="7" t="s">
        <v>453</v>
      </c>
      <c r="B30" s="7"/>
      <c r="C30" s="7"/>
      <c r="D30" s="7"/>
      <c r="E30" s="7"/>
      <c r="F30" s="7"/>
      <c r="G30" s="7"/>
    </row>
  </sheetData>
  <mergeCells count="3">
    <mergeCell ref="A2:G2"/>
    <mergeCell ref="A29:G29"/>
    <mergeCell ref="A30:G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3" min="1" style="1" width="12"/>
    <col collapsed="false" customWidth="true" hidden="false" outlineLevel="0" max="4" min="4" style="1" width="14"/>
    <col collapsed="false" customWidth="true" hidden="false" outlineLevel="0" max="5" min="5" style="1" width="12"/>
    <col collapsed="false" customWidth="true" hidden="false" outlineLevel="0" max="6" min="6" style="1" width="18"/>
    <col collapsed="false" customWidth="true" hidden="false" outlineLevel="0" max="7" min="7" style="1" width="12"/>
    <col collapsed="false" customWidth="true" hidden="false" outlineLevel="0" max="8" min="8" style="1" width="13"/>
    <col collapsed="false" customWidth="true" hidden="false" outlineLevel="0" max="9" min="9" style="1" width="12"/>
    <col collapsed="false" customWidth="true" hidden="false" outlineLevel="0" max="10" min="10" style="1" width="13"/>
    <col collapsed="false" customWidth="true" hidden="false" outlineLevel="0" max="12" min="11" style="1" width="14"/>
    <col collapsed="false" customWidth="true" hidden="false" outlineLevel="0" max="13" min="13" style="1" width="12"/>
    <col collapsed="false" customWidth="true" hidden="false" outlineLevel="0" max="14" min="14" style="1" width="15"/>
  </cols>
  <sheetData>
    <row r="1" customFormat="false" ht="27.75" hidden="false" customHeight="true" outlineLevel="0" collapsed="false">
      <c r="A1" s="2" t="s">
        <v>22</v>
      </c>
      <c r="B1" s="2" t="s">
        <v>454</v>
      </c>
      <c r="C1" s="2" t="s">
        <v>455</v>
      </c>
      <c r="D1" s="2" t="s">
        <v>456</v>
      </c>
      <c r="E1" s="2" t="s">
        <v>457</v>
      </c>
      <c r="F1" s="2" t="s">
        <v>458</v>
      </c>
      <c r="G1" s="2" t="s">
        <v>459</v>
      </c>
      <c r="H1" s="2" t="s">
        <v>460</v>
      </c>
      <c r="I1" s="2" t="s">
        <v>461</v>
      </c>
      <c r="J1" s="2" t="s">
        <v>462</v>
      </c>
      <c r="K1" s="2" t="s">
        <v>463</v>
      </c>
      <c r="L1" s="2" t="s">
        <v>464</v>
      </c>
      <c r="M1" s="2" t="s">
        <v>33</v>
      </c>
      <c r="N1" s="2" t="s">
        <v>465</v>
      </c>
    </row>
  </sheetData>
  <autoFilter ref="A1:N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12"/>
    <col collapsed="false" customWidth="true" hidden="false" outlineLevel="0" max="3" min="3" style="1" width="13"/>
    <col collapsed="false" customWidth="true" hidden="false" outlineLevel="0" max="4" min="4" style="1" width="18"/>
    <col collapsed="false" customWidth="true" hidden="false" outlineLevel="0" max="5" min="5" style="1" width="16"/>
    <col collapsed="false" customWidth="true" hidden="false" outlineLevel="0" max="6" min="6" style="1" width="12"/>
    <col collapsed="false" customWidth="true" hidden="false" outlineLevel="0" max="7" min="7" style="1" width="14"/>
    <col collapsed="false" customWidth="true" hidden="false" outlineLevel="0" max="10" min="8" style="1" width="12"/>
  </cols>
  <sheetData>
    <row r="1" customFormat="false" ht="27.75" hidden="false" customHeight="true" outlineLevel="0" collapsed="false">
      <c r="A1" s="2" t="s">
        <v>22</v>
      </c>
      <c r="B1" s="2" t="s">
        <v>466</v>
      </c>
      <c r="C1" s="2" t="s">
        <v>467</v>
      </c>
      <c r="D1" s="2" t="s">
        <v>468</v>
      </c>
      <c r="E1" s="2" t="s">
        <v>469</v>
      </c>
      <c r="F1" s="2" t="s">
        <v>355</v>
      </c>
      <c r="G1" s="2" t="s">
        <v>470</v>
      </c>
      <c r="H1" s="2" t="s">
        <v>295</v>
      </c>
      <c r="I1" s="2" t="s">
        <v>33</v>
      </c>
      <c r="J1" s="2" t="s">
        <v>368</v>
      </c>
    </row>
    <row r="2" customFormat="false" ht="189" hidden="false" customHeight="true" outlineLevel="0" collapsed="false">
      <c r="A2" s="2" t="s">
        <v>471</v>
      </c>
      <c r="B2" s="2" t="s">
        <v>472</v>
      </c>
      <c r="C2" s="2" t="s">
        <v>473</v>
      </c>
      <c r="D2" s="2" t="s">
        <v>474</v>
      </c>
      <c r="E2" s="2" t="s">
        <v>475</v>
      </c>
      <c r="F2" s="2" t="s">
        <v>476</v>
      </c>
      <c r="G2" s="2" t="s">
        <v>477</v>
      </c>
      <c r="H2" s="2" t="s">
        <v>332</v>
      </c>
      <c r="I2" s="2" t="s">
        <v>294</v>
      </c>
      <c r="J2" s="2" t="s">
        <v>478</v>
      </c>
    </row>
    <row r="3" customFormat="false" ht="176.1" hidden="false" customHeight="false" outlineLevel="0" collapsed="false">
      <c r="A3" s="2" t="s">
        <v>479</v>
      </c>
      <c r="B3" s="2" t="s">
        <v>480</v>
      </c>
      <c r="C3" s="2" t="s">
        <v>481</v>
      </c>
      <c r="D3" s="2" t="s">
        <v>482</v>
      </c>
      <c r="E3" s="2" t="s">
        <v>483</v>
      </c>
      <c r="F3" s="2" t="s">
        <v>476</v>
      </c>
      <c r="G3" s="2" t="s">
        <v>484</v>
      </c>
      <c r="H3" s="2" t="s">
        <v>332</v>
      </c>
      <c r="I3" s="2" t="s">
        <v>290</v>
      </c>
      <c r="J3" s="2" t="s">
        <v>485</v>
      </c>
    </row>
  </sheetData>
  <autoFilter ref="A1:J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2"/>
    <col collapsed="false" customWidth="true" hidden="false" outlineLevel="0" max="4" min="3" style="1" width="22"/>
    <col collapsed="false" customWidth="true" hidden="false" outlineLevel="0" max="5" min="5" style="1" width="34"/>
    <col collapsed="false" customWidth="true" hidden="false" outlineLevel="0" max="6" min="6" style="1" width="15"/>
    <col collapsed="false" customWidth="true" hidden="false" outlineLevel="0" max="8" min="7" style="1" width="26"/>
    <col collapsed="false" customWidth="true" hidden="false" outlineLevel="0" max="10" min="9" style="1" width="14"/>
    <col collapsed="false" customWidth="true" hidden="false" outlineLevel="0" max="11" min="11" style="1" width="13"/>
    <col collapsed="false" customWidth="true" hidden="false" outlineLevel="0" max="12" min="12" style="1" width="14"/>
    <col collapsed="false" customWidth="true" hidden="false" outlineLevel="0" max="14" min="13" style="1" width="16"/>
    <col collapsed="false" customWidth="true" hidden="false" outlineLevel="0" max="15" min="15" style="1" width="13"/>
    <col collapsed="false" customWidth="true" hidden="false" outlineLevel="0" max="16" min="16" style="1" width="12"/>
    <col collapsed="false" customWidth="true" hidden="false" outlineLevel="0" max="17" min="17" style="1" width="10"/>
    <col collapsed="false" customWidth="true" hidden="false" outlineLevel="0" max="19" min="18" style="1" width="12"/>
    <col collapsed="false" customWidth="true" hidden="false" outlineLevel="0" max="20" min="20" style="1" width="13"/>
    <col collapsed="false" customWidth="true" hidden="false" outlineLevel="0" max="21" min="21" style="1" width="30"/>
    <col collapsed="false" customWidth="true" hidden="false" outlineLevel="0" max="22" min="22" style="1" width="22"/>
    <col collapsed="false" customWidth="true" hidden="false" outlineLevel="0" max="23" min="23" style="1" width="12"/>
    <col collapsed="false" customWidth="true" hidden="false" outlineLevel="0" max="24" min="24" style="1" width="40"/>
  </cols>
  <sheetData>
    <row r="1" customFormat="false" ht="45" hidden="false" customHeight="true" outlineLevel="0" collapsed="false">
      <c r="A1" s="5" t="s">
        <v>351</v>
      </c>
      <c r="B1" s="5" t="s">
        <v>22</v>
      </c>
      <c r="C1" s="5" t="s">
        <v>25</v>
      </c>
      <c r="D1" s="5" t="s">
        <v>26</v>
      </c>
      <c r="E1" s="5" t="s">
        <v>30</v>
      </c>
      <c r="F1" s="5" t="s">
        <v>486</v>
      </c>
      <c r="G1" s="5" t="s">
        <v>487</v>
      </c>
      <c r="H1" s="5" t="s">
        <v>488</v>
      </c>
      <c r="I1" s="5" t="s">
        <v>489</v>
      </c>
      <c r="J1" s="5" t="s">
        <v>490</v>
      </c>
      <c r="K1" s="5" t="s">
        <v>491</v>
      </c>
      <c r="L1" s="5" t="s">
        <v>492</v>
      </c>
      <c r="M1" s="5" t="s">
        <v>493</v>
      </c>
      <c r="N1" s="5" t="s">
        <v>494</v>
      </c>
      <c r="O1" s="5" t="s">
        <v>495</v>
      </c>
      <c r="P1" s="5" t="s">
        <v>496</v>
      </c>
      <c r="Q1" s="5" t="s">
        <v>497</v>
      </c>
      <c r="R1" s="5" t="s">
        <v>498</v>
      </c>
      <c r="S1" s="5" t="s">
        <v>499</v>
      </c>
      <c r="T1" s="5" t="s">
        <v>500</v>
      </c>
      <c r="U1" s="5" t="s">
        <v>501</v>
      </c>
      <c r="V1" s="5" t="s">
        <v>502</v>
      </c>
      <c r="W1" s="5" t="s">
        <v>503</v>
      </c>
      <c r="X1" s="5" t="s">
        <v>504</v>
      </c>
    </row>
    <row r="2" customFormat="false" ht="15" hidden="false" customHeight="true" outlineLevel="0" collapsed="false">
      <c r="A2" s="1" t="s">
        <v>505</v>
      </c>
      <c r="B2" s="1" t="str">
        <f aca="false">Game_Log_2015_2017!A2</f>
        <v>2015-11-12</v>
      </c>
      <c r="C2" s="1" t="str">
        <f aca="false">Game_Log_2015_2017!D2</f>
        <v>New York Jets</v>
      </c>
      <c r="D2" s="1" t="str">
        <f aca="false">Game_Log_2015_2017!E2</f>
        <v>Buffalo Bills</v>
      </c>
      <c r="E2" s="3" t="str">
        <f aca="false">Game_Log_2015_2017!I2</f>
        <v>Bills red / Jets green</v>
      </c>
      <c r="F2" s="12" t="s">
        <v>506</v>
      </c>
      <c r="G2" s="8" t="s">
        <v>507</v>
      </c>
      <c r="H2" s="8" t="s">
        <v>508</v>
      </c>
      <c r="I2" s="8"/>
      <c r="J2" s="8"/>
      <c r="K2" s="8"/>
      <c r="L2" s="8"/>
      <c r="M2" s="8"/>
      <c r="N2" s="8"/>
      <c r="O2" s="1" t="str">
        <f aca="false">IF(COUNT(M2:N2)=0,"",MIN(M2:N2))</f>
        <v/>
      </c>
      <c r="P2" s="1" t="str">
        <f aca="false">IF(O2="","",IF(O2&lt;=2,1,0))</f>
        <v/>
      </c>
      <c r="Q2" s="8"/>
      <c r="R2" s="8"/>
      <c r="S2" s="8"/>
      <c r="T2" s="8"/>
      <c r="U2" s="13" t="s">
        <v>326</v>
      </c>
      <c r="V2" s="8"/>
      <c r="W2" s="8"/>
      <c r="X2" s="13" t="s">
        <v>509</v>
      </c>
    </row>
    <row r="3" customFormat="false" ht="15" hidden="false" customHeight="true" outlineLevel="0" collapsed="false">
      <c r="A3" s="1" t="s">
        <v>510</v>
      </c>
      <c r="B3" s="1" t="str">
        <f aca="false">Game_Log_2015_2017!A3</f>
        <v>2015-11-19</v>
      </c>
      <c r="C3" s="1" t="str">
        <f aca="false">Game_Log_2015_2017!D3</f>
        <v>Jacksonville Jaguars</v>
      </c>
      <c r="D3" s="1" t="str">
        <f aca="false">Game_Log_2015_2017!E3</f>
        <v>Tennessee Titans</v>
      </c>
      <c r="E3" s="3" t="str">
        <f aca="false">Game_Log_2015_2017!I3</f>
        <v>Titans blue / Jaguars gold</v>
      </c>
      <c r="F3" s="12" t="s">
        <v>506</v>
      </c>
      <c r="G3" s="8" t="s">
        <v>511</v>
      </c>
      <c r="H3" s="8" t="s">
        <v>512</v>
      </c>
      <c r="I3" s="8"/>
      <c r="J3" s="8"/>
      <c r="K3" s="8"/>
      <c r="L3" s="8"/>
      <c r="M3" s="8"/>
      <c r="N3" s="8"/>
      <c r="O3" s="1" t="str">
        <f aca="false">IF(COUNT(M3:N3)=0,"",MIN(M3:N3))</f>
        <v/>
      </c>
      <c r="P3" s="1" t="str">
        <f aca="false">IF(O3="","",IF(O3&lt;=2,1,0))</f>
        <v/>
      </c>
      <c r="Q3" s="8"/>
      <c r="R3" s="8"/>
      <c r="S3" s="8"/>
      <c r="T3" s="8"/>
      <c r="U3" s="13" t="s">
        <v>326</v>
      </c>
      <c r="V3" s="8"/>
      <c r="W3" s="8"/>
      <c r="X3" s="13"/>
    </row>
    <row r="4" customFormat="false" ht="15" hidden="false" customHeight="true" outlineLevel="0" collapsed="false">
      <c r="A4" s="1" t="s">
        <v>513</v>
      </c>
      <c r="B4" s="1" t="str">
        <f aca="false">Game_Log_2015_2017!A4</f>
        <v>2015-11-26</v>
      </c>
      <c r="C4" s="1" t="str">
        <f aca="false">Game_Log_2015_2017!D4</f>
        <v>Dallas Cowboys</v>
      </c>
      <c r="D4" s="1" t="str">
        <f aca="false">Game_Log_2015_2017!E4</f>
        <v>Carolina Panthers</v>
      </c>
      <c r="E4" s="3" t="str">
        <f aca="false">Game_Log_2015_2017!I4</f>
        <v>Panthers blue / Cowboys white</v>
      </c>
      <c r="F4" s="12" t="s">
        <v>506</v>
      </c>
      <c r="G4" s="8" t="s">
        <v>514</v>
      </c>
      <c r="H4" s="8" t="s">
        <v>515</v>
      </c>
      <c r="I4" s="8"/>
      <c r="J4" s="8"/>
      <c r="K4" s="8"/>
      <c r="L4" s="8"/>
      <c r="M4" s="8"/>
      <c r="N4" s="8"/>
      <c r="O4" s="1" t="str">
        <f aca="false">IF(COUNT(M4:N4)=0,"",MIN(M4:N4))</f>
        <v/>
      </c>
      <c r="P4" s="1" t="str">
        <f aca="false">IF(O4="","",IF(O4&lt;=2,1,0))</f>
        <v/>
      </c>
      <c r="Q4" s="8"/>
      <c r="R4" s="8"/>
      <c r="S4" s="8"/>
      <c r="T4" s="8"/>
      <c r="U4" s="13" t="s">
        <v>516</v>
      </c>
      <c r="V4" s="8"/>
      <c r="W4" s="8"/>
      <c r="X4" s="13"/>
    </row>
    <row r="5" customFormat="false" ht="15" hidden="false" customHeight="true" outlineLevel="0" collapsed="false">
      <c r="A5" s="1" t="s">
        <v>517</v>
      </c>
      <c r="B5" s="1" t="str">
        <f aca="false">Game_Log_2015_2017!A5</f>
        <v>2015-12-17</v>
      </c>
      <c r="C5" s="1" t="str">
        <f aca="false">Game_Log_2015_2017!D5</f>
        <v>St. Louis Rams</v>
      </c>
      <c r="D5" s="1" t="str">
        <f aca="false">Game_Log_2015_2017!E5</f>
        <v>Tampa Bay Buccaneers</v>
      </c>
      <c r="E5" s="3" t="str">
        <f aca="false">Game_Log_2015_2017!I5</f>
        <v>Buccaneers red / Rams gold</v>
      </c>
      <c r="F5" s="12" t="s">
        <v>506</v>
      </c>
      <c r="G5" s="8" t="s">
        <v>518</v>
      </c>
      <c r="H5" s="8" t="s">
        <v>519</v>
      </c>
      <c r="I5" s="8"/>
      <c r="J5" s="8"/>
      <c r="K5" s="8"/>
      <c r="L5" s="8"/>
      <c r="M5" s="8"/>
      <c r="N5" s="8"/>
      <c r="O5" s="1" t="str">
        <f aca="false">IF(COUNT(M5:N5)=0,"",MIN(M5:N5))</f>
        <v/>
      </c>
      <c r="P5" s="1" t="str">
        <f aca="false">IF(O5="","",IF(O5&lt;=2,1,0))</f>
        <v/>
      </c>
      <c r="Q5" s="8"/>
      <c r="R5" s="8"/>
      <c r="S5" s="8"/>
      <c r="T5" s="8"/>
      <c r="U5" s="13" t="s">
        <v>326</v>
      </c>
      <c r="V5" s="8"/>
      <c r="W5" s="8"/>
      <c r="X5" s="13"/>
    </row>
    <row r="6" customFormat="false" ht="27.75" hidden="false" customHeight="true" outlineLevel="0" collapsed="false">
      <c r="A6" s="1" t="s">
        <v>520</v>
      </c>
      <c r="B6" s="1" t="str">
        <f aca="false">Game_Log_2015_2017!A6</f>
        <v>2016-09-15</v>
      </c>
      <c r="C6" s="1" t="str">
        <f aca="false">Game_Log_2015_2017!D6</f>
        <v>Buffalo Bills</v>
      </c>
      <c r="D6" s="1" t="str">
        <f aca="false">Game_Log_2015_2017!E6</f>
        <v>New York Jets</v>
      </c>
      <c r="E6" s="3" t="str">
        <f aca="false">Game_Log_2015_2017!I6</f>
        <v>Jets white instead of full green; Bills red</v>
      </c>
      <c r="F6" s="12" t="s">
        <v>506</v>
      </c>
      <c r="G6" s="8" t="s">
        <v>521</v>
      </c>
      <c r="H6" s="8" t="s">
        <v>522</v>
      </c>
      <c r="I6" s="8"/>
      <c r="J6" s="8"/>
      <c r="K6" s="8"/>
      <c r="L6" s="8"/>
      <c r="M6" s="8"/>
      <c r="N6" s="8"/>
      <c r="O6" s="1" t="str">
        <f aca="false">IF(COUNT(M6:N6)=0,"",MIN(M6:N6))</f>
        <v/>
      </c>
      <c r="P6" s="1" t="str">
        <f aca="false">IF(O6="","",IF(O6&lt;=2,1,0))</f>
        <v/>
      </c>
      <c r="Q6" s="8"/>
      <c r="R6" s="8"/>
      <c r="S6" s="8"/>
      <c r="T6" s="8"/>
      <c r="U6" s="13" t="s">
        <v>283</v>
      </c>
      <c r="V6" s="8"/>
      <c r="W6" s="8"/>
      <c r="X6" s="13" t="s">
        <v>523</v>
      </c>
    </row>
    <row r="7" customFormat="false" ht="15" hidden="false" customHeight="true" outlineLevel="0" collapsed="false">
      <c r="A7" s="1" t="s">
        <v>524</v>
      </c>
      <c r="B7" s="1" t="str">
        <f aca="false">Game_Log_2015_2017!A7</f>
        <v>2016-09-22</v>
      </c>
      <c r="C7" s="1" t="str">
        <f aca="false">Game_Log_2015_2017!D7</f>
        <v>New England Patriots</v>
      </c>
      <c r="D7" s="1" t="str">
        <f aca="false">Game_Log_2015_2017!E7</f>
        <v>Houston Texans</v>
      </c>
      <c r="E7" s="3" t="str">
        <f aca="false">Game_Log_2015_2017!I7</f>
        <v>Texans / Patriots Color Rush</v>
      </c>
      <c r="F7" s="12" t="s">
        <v>525</v>
      </c>
      <c r="G7" s="8" t="s">
        <v>526</v>
      </c>
      <c r="H7" s="8" t="s">
        <v>527</v>
      </c>
      <c r="I7" s="8"/>
      <c r="J7" s="8"/>
      <c r="K7" s="8"/>
      <c r="L7" s="8"/>
      <c r="M7" s="8"/>
      <c r="N7" s="8"/>
      <c r="O7" s="1" t="str">
        <f aca="false">IF(COUNT(M7:N7)=0,"",MIN(M7:N7))</f>
        <v/>
      </c>
      <c r="P7" s="1" t="str">
        <f aca="false">IF(O7="","",IF(O7&lt;=2,1,0))</f>
        <v/>
      </c>
      <c r="Q7" s="8"/>
      <c r="R7" s="8"/>
      <c r="S7" s="8"/>
      <c r="T7" s="8"/>
      <c r="U7" s="13" t="s">
        <v>273</v>
      </c>
      <c r="V7" s="8"/>
      <c r="W7" s="8"/>
      <c r="X7" s="13"/>
    </row>
    <row r="8" customFormat="false" ht="15" hidden="false" customHeight="true" outlineLevel="0" collapsed="false">
      <c r="A8" s="1" t="s">
        <v>528</v>
      </c>
      <c r="B8" s="1" t="str">
        <f aca="false">Game_Log_2015_2017!A8</f>
        <v>2016-09-29</v>
      </c>
      <c r="C8" s="1" t="str">
        <f aca="false">Game_Log_2015_2017!D8</f>
        <v>Cincinnati Bengals</v>
      </c>
      <c r="D8" s="1" t="str">
        <f aca="false">Game_Log_2015_2017!E8</f>
        <v>Miami Dolphins</v>
      </c>
      <c r="E8" s="3" t="str">
        <f aca="false">Game_Log_2015_2017!I8</f>
        <v>Dolphins / Bengals Color Rush</v>
      </c>
      <c r="F8" s="12" t="s">
        <v>525</v>
      </c>
      <c r="G8" s="8" t="s">
        <v>529</v>
      </c>
      <c r="H8" s="8" t="s">
        <v>530</v>
      </c>
      <c r="I8" s="8"/>
      <c r="J8" s="8"/>
      <c r="K8" s="8"/>
      <c r="L8" s="8"/>
      <c r="M8" s="8"/>
      <c r="N8" s="8"/>
      <c r="O8" s="1" t="str">
        <f aca="false">IF(COUNT(M8:N8)=0,"",MIN(M8:N8))</f>
        <v/>
      </c>
      <c r="P8" s="1" t="str">
        <f aca="false">IF(O8="","",IF(O8&lt;=2,1,0))</f>
        <v/>
      </c>
      <c r="Q8" s="8"/>
      <c r="R8" s="8"/>
      <c r="S8" s="8"/>
      <c r="T8" s="8"/>
      <c r="U8" s="13" t="s">
        <v>273</v>
      </c>
      <c r="V8" s="8"/>
      <c r="W8" s="8"/>
      <c r="X8" s="13"/>
    </row>
    <row r="9" customFormat="false" ht="15" hidden="false" customHeight="true" outlineLevel="0" collapsed="false">
      <c r="A9" s="1" t="s">
        <v>531</v>
      </c>
      <c r="B9" s="1" t="str">
        <f aca="false">Game_Log_2015_2017!A9</f>
        <v>2016-10-06</v>
      </c>
      <c r="C9" s="1" t="str">
        <f aca="false">Game_Log_2015_2017!D9</f>
        <v>San Francisco 49ers</v>
      </c>
      <c r="D9" s="1" t="str">
        <f aca="false">Game_Log_2015_2017!E9</f>
        <v>Arizona Cardinals</v>
      </c>
      <c r="E9" s="3" t="str">
        <f aca="false">Game_Log_2015_2017!I9</f>
        <v>Cardinals / 49ers Color Rush</v>
      </c>
      <c r="F9" s="12" t="s">
        <v>525</v>
      </c>
      <c r="G9" s="8" t="s">
        <v>532</v>
      </c>
      <c r="H9" s="8" t="s">
        <v>533</v>
      </c>
      <c r="I9" s="8"/>
      <c r="J9" s="8"/>
      <c r="K9" s="8"/>
      <c r="L9" s="8"/>
      <c r="M9" s="8"/>
      <c r="N9" s="8"/>
      <c r="O9" s="1" t="str">
        <f aca="false">IF(COUNT(M9:N9)=0,"",MIN(M9:N9))</f>
        <v/>
      </c>
      <c r="P9" s="1" t="str">
        <f aca="false">IF(O9="","",IF(O9&lt;=2,1,0))</f>
        <v/>
      </c>
      <c r="Q9" s="8"/>
      <c r="R9" s="8"/>
      <c r="S9" s="8"/>
      <c r="T9" s="8"/>
      <c r="U9" s="13" t="s">
        <v>273</v>
      </c>
      <c r="V9" s="8"/>
      <c r="W9" s="8"/>
      <c r="X9" s="13"/>
    </row>
    <row r="10" customFormat="false" ht="15" hidden="false" customHeight="true" outlineLevel="0" collapsed="false">
      <c r="A10" s="1" t="s">
        <v>534</v>
      </c>
      <c r="B10" s="1" t="str">
        <f aca="false">Game_Log_2015_2017!A10</f>
        <v>2016-10-13</v>
      </c>
      <c r="C10" s="1" t="str">
        <f aca="false">Game_Log_2015_2017!D10</f>
        <v>San Diego Chargers</v>
      </c>
      <c r="D10" s="1" t="str">
        <f aca="false">Game_Log_2015_2017!E10</f>
        <v>Denver Broncos</v>
      </c>
      <c r="E10" s="3" t="str">
        <f aca="false">Game_Log_2015_2017!I10</f>
        <v>Broncos / Chargers Color Rush</v>
      </c>
      <c r="F10" s="12"/>
      <c r="G10" s="8"/>
      <c r="H10" s="8"/>
      <c r="I10" s="8"/>
      <c r="J10" s="8"/>
      <c r="K10" s="8"/>
      <c r="L10" s="8"/>
      <c r="M10" s="8"/>
      <c r="N10" s="8"/>
      <c r="O10" s="1" t="str">
        <f aca="false">IF(COUNT(M10:N10)=0,"",MIN(M10:N10))</f>
        <v/>
      </c>
      <c r="P10" s="1" t="str">
        <f aca="false">IF(O10="","",IF(O10&lt;=2,1,0))</f>
        <v/>
      </c>
      <c r="Q10" s="8"/>
      <c r="R10" s="8"/>
      <c r="S10" s="8"/>
      <c r="T10" s="8"/>
      <c r="U10" s="13"/>
      <c r="V10" s="8"/>
      <c r="W10" s="8"/>
      <c r="X10" s="13"/>
    </row>
    <row r="11" customFormat="false" ht="15" hidden="false" customHeight="true" outlineLevel="0" collapsed="false">
      <c r="A11" s="1" t="s">
        <v>535</v>
      </c>
      <c r="B11" s="1" t="str">
        <f aca="false">Game_Log_2015_2017!A11</f>
        <v>2016-10-20</v>
      </c>
      <c r="C11" s="1" t="str">
        <f aca="false">Game_Log_2015_2017!D11</f>
        <v>Green Bay Packers</v>
      </c>
      <c r="D11" s="1" t="str">
        <f aca="false">Game_Log_2015_2017!E11</f>
        <v>Chicago Bears</v>
      </c>
      <c r="E11" s="3" t="str">
        <f aca="false">Game_Log_2015_2017!I11</f>
        <v>Bears / Packers Color Rush</v>
      </c>
      <c r="F11" s="12" t="s">
        <v>525</v>
      </c>
      <c r="G11" s="8" t="s">
        <v>536</v>
      </c>
      <c r="H11" s="8" t="s">
        <v>537</v>
      </c>
      <c r="I11" s="8"/>
      <c r="J11" s="8"/>
      <c r="K11" s="8"/>
      <c r="L11" s="8"/>
      <c r="M11" s="8"/>
      <c r="N11" s="8"/>
      <c r="O11" s="1" t="str">
        <f aca="false">IF(COUNT(M11:N11)=0,"",MIN(M11:N11))</f>
        <v/>
      </c>
      <c r="P11" s="1" t="str">
        <f aca="false">IF(O11="","",IF(O11&lt;=2,1,0))</f>
        <v/>
      </c>
      <c r="Q11" s="8"/>
      <c r="R11" s="8"/>
      <c r="S11" s="8"/>
      <c r="T11" s="8"/>
      <c r="U11" s="13" t="s">
        <v>273</v>
      </c>
      <c r="V11" s="8"/>
      <c r="W11" s="8"/>
      <c r="X11" s="13"/>
    </row>
    <row r="12" customFormat="false" ht="15" hidden="false" customHeight="true" outlineLevel="0" collapsed="false">
      <c r="A12" s="1" t="s">
        <v>538</v>
      </c>
      <c r="B12" s="1" t="str">
        <f aca="false">Game_Log_2015_2017!A12</f>
        <v>2016-10-27</v>
      </c>
      <c r="C12" s="1" t="str">
        <f aca="false">Game_Log_2015_2017!D12</f>
        <v>Tennessee Titans</v>
      </c>
      <c r="D12" s="1" t="str">
        <f aca="false">Game_Log_2015_2017!E12</f>
        <v>Jacksonville Jaguars</v>
      </c>
      <c r="E12" s="3" t="str">
        <f aca="false">Game_Log_2015_2017!I12</f>
        <v>Jaguars / Titans Color Rush</v>
      </c>
      <c r="F12" s="12" t="s">
        <v>525</v>
      </c>
      <c r="G12" s="8" t="s">
        <v>539</v>
      </c>
      <c r="H12" s="8" t="s">
        <v>540</v>
      </c>
      <c r="I12" s="8"/>
      <c r="J12" s="8"/>
      <c r="K12" s="8"/>
      <c r="L12" s="8"/>
      <c r="M12" s="8"/>
      <c r="N12" s="8"/>
      <c r="O12" s="1" t="str">
        <f aca="false">IF(COUNT(M12:N12)=0,"",MIN(M12:N12))</f>
        <v/>
      </c>
      <c r="P12" s="1" t="str">
        <f aca="false">IF(O12="","",IF(O12&lt;=2,1,0))</f>
        <v/>
      </c>
      <c r="Q12" s="8"/>
      <c r="R12" s="8"/>
      <c r="S12" s="8"/>
      <c r="T12" s="8"/>
      <c r="U12" s="13" t="s">
        <v>541</v>
      </c>
      <c r="V12" s="8"/>
      <c r="W12" s="8"/>
      <c r="X12" s="13"/>
    </row>
    <row r="13" customFormat="false" ht="15" hidden="false" customHeight="true" outlineLevel="0" collapsed="false">
      <c r="A13" s="1" t="s">
        <v>542</v>
      </c>
      <c r="B13" s="1" t="str">
        <f aca="false">Game_Log_2015_2017!A13</f>
        <v>2016-11-03</v>
      </c>
      <c r="C13" s="1" t="str">
        <f aca="false">Game_Log_2015_2017!D13</f>
        <v>Tampa Bay Buccaneers</v>
      </c>
      <c r="D13" s="1" t="str">
        <f aca="false">Game_Log_2015_2017!E13</f>
        <v>Atlanta Falcons</v>
      </c>
      <c r="E13" s="3" t="str">
        <f aca="false">Game_Log_2015_2017!I13</f>
        <v>Falcons / Buccaneers Color Rush</v>
      </c>
      <c r="F13" s="12" t="s">
        <v>525</v>
      </c>
      <c r="G13" s="8" t="s">
        <v>543</v>
      </c>
      <c r="H13" s="8" t="s">
        <v>544</v>
      </c>
      <c r="I13" s="8"/>
      <c r="J13" s="8"/>
      <c r="K13" s="8"/>
      <c r="L13" s="8"/>
      <c r="M13" s="8"/>
      <c r="N13" s="8"/>
      <c r="O13" s="1" t="str">
        <f aca="false">IF(COUNT(M13:N13)=0,"",MIN(M13:N13))</f>
        <v/>
      </c>
      <c r="P13" s="1" t="str">
        <f aca="false">IF(O13="","",IF(O13&lt;=2,1,0))</f>
        <v/>
      </c>
      <c r="Q13" s="8"/>
      <c r="R13" s="8"/>
      <c r="S13" s="8"/>
      <c r="T13" s="8"/>
      <c r="U13" s="13" t="s">
        <v>273</v>
      </c>
      <c r="V13" s="8"/>
      <c r="W13" s="8"/>
      <c r="X13" s="13"/>
    </row>
    <row r="14" customFormat="false" ht="15" hidden="false" customHeight="true" outlineLevel="0" collapsed="false">
      <c r="A14" s="1" t="s">
        <v>545</v>
      </c>
      <c r="B14" s="1" t="str">
        <f aca="false">Game_Log_2015_2017!A14</f>
        <v>2016-11-10</v>
      </c>
      <c r="C14" s="1" t="str">
        <f aca="false">Game_Log_2015_2017!D14</f>
        <v>Baltimore Ravens</v>
      </c>
      <c r="D14" s="1" t="str">
        <f aca="false">Game_Log_2015_2017!E14</f>
        <v>Cleveland Browns</v>
      </c>
      <c r="E14" s="3" t="str">
        <f aca="false">Game_Log_2015_2017!I14</f>
        <v>Browns / Ravens Color Rush</v>
      </c>
      <c r="F14" s="12" t="s">
        <v>525</v>
      </c>
      <c r="G14" s="8" t="s">
        <v>546</v>
      </c>
      <c r="H14" s="8" t="s">
        <v>547</v>
      </c>
      <c r="I14" s="8"/>
      <c r="J14" s="8"/>
      <c r="K14" s="8"/>
      <c r="L14" s="8"/>
      <c r="M14" s="8"/>
      <c r="N14" s="8"/>
      <c r="O14" s="1" t="str">
        <f aca="false">IF(COUNT(M14:N14)=0,"",MIN(M14:N14))</f>
        <v/>
      </c>
      <c r="P14" s="1" t="str">
        <f aca="false">IF(O14="","",IF(O14&lt;=2,1,0))</f>
        <v/>
      </c>
      <c r="Q14" s="8"/>
      <c r="R14" s="8"/>
      <c r="S14" s="8"/>
      <c r="T14" s="8"/>
      <c r="U14" s="13" t="s">
        <v>273</v>
      </c>
      <c r="V14" s="8"/>
      <c r="W14" s="8"/>
      <c r="X14" s="13"/>
    </row>
    <row r="15" customFormat="false" ht="15" hidden="false" customHeight="true" outlineLevel="0" collapsed="false">
      <c r="A15" s="1" t="s">
        <v>548</v>
      </c>
      <c r="B15" s="1" t="str">
        <f aca="false">Game_Log_2015_2017!A15</f>
        <v>2016-11-17</v>
      </c>
      <c r="C15" s="1" t="str">
        <f aca="false">Game_Log_2015_2017!D15</f>
        <v>Carolina Panthers</v>
      </c>
      <c r="D15" s="1" t="str">
        <f aca="false">Game_Log_2015_2017!E15</f>
        <v>New Orleans Saints</v>
      </c>
      <c r="E15" s="3" t="str">
        <f aca="false">Game_Log_2015_2017!I15</f>
        <v>Saints / Panthers Color Rush</v>
      </c>
      <c r="F15" s="12" t="s">
        <v>525</v>
      </c>
      <c r="G15" s="8" t="s">
        <v>549</v>
      </c>
      <c r="H15" s="8" t="s">
        <v>550</v>
      </c>
      <c r="I15" s="8"/>
      <c r="J15" s="8"/>
      <c r="K15" s="8"/>
      <c r="L15" s="8"/>
      <c r="M15" s="8"/>
      <c r="N15" s="8"/>
      <c r="O15" s="1" t="str">
        <f aca="false">IF(COUNT(M15:N15)=0,"",MIN(M15:N15))</f>
        <v/>
      </c>
      <c r="P15" s="1" t="str">
        <f aca="false">IF(O15="","",IF(O15&lt;=2,1,0))</f>
        <v/>
      </c>
      <c r="Q15" s="8"/>
      <c r="R15" s="8"/>
      <c r="S15" s="8"/>
      <c r="T15" s="8"/>
      <c r="U15" s="13" t="s">
        <v>273</v>
      </c>
      <c r="V15" s="8"/>
      <c r="W15" s="8"/>
      <c r="X15" s="13"/>
    </row>
    <row r="16" customFormat="false" ht="15" hidden="false" customHeight="true" outlineLevel="0" collapsed="false">
      <c r="A16" s="1" t="s">
        <v>551</v>
      </c>
      <c r="B16" s="1" t="str">
        <f aca="false">Game_Log_2015_2017!A16</f>
        <v>2016-12-01</v>
      </c>
      <c r="C16" s="1" t="str">
        <f aca="false">Game_Log_2015_2017!D16</f>
        <v>Minnesota Vikings</v>
      </c>
      <c r="D16" s="1" t="str">
        <f aca="false">Game_Log_2015_2017!E16</f>
        <v>Dallas Cowboys</v>
      </c>
      <c r="E16" s="3" t="str">
        <f aca="false">Game_Log_2015_2017!I16</f>
        <v>Cowboys / Vikings Color Rush</v>
      </c>
      <c r="F16" s="12" t="s">
        <v>525</v>
      </c>
      <c r="G16" s="8" t="s">
        <v>552</v>
      </c>
      <c r="H16" s="8" t="s">
        <v>553</v>
      </c>
      <c r="I16" s="8"/>
      <c r="J16" s="8"/>
      <c r="K16" s="8"/>
      <c r="L16" s="8"/>
      <c r="M16" s="8"/>
      <c r="N16" s="8"/>
      <c r="O16" s="1" t="str">
        <f aca="false">IF(COUNT(M16:N16)=0,"",MIN(M16:N16))</f>
        <v/>
      </c>
      <c r="P16" s="1" t="str">
        <f aca="false">IF(O16="","",IF(O16&lt;=2,1,0))</f>
        <v/>
      </c>
      <c r="Q16" s="8"/>
      <c r="R16" s="8"/>
      <c r="S16" s="8"/>
      <c r="T16" s="8"/>
      <c r="U16" s="13" t="s">
        <v>273</v>
      </c>
      <c r="V16" s="8"/>
      <c r="W16" s="8"/>
      <c r="X16" s="13"/>
    </row>
    <row r="17" customFormat="false" ht="15" hidden="false" customHeight="true" outlineLevel="0" collapsed="false">
      <c r="A17" s="1" t="s">
        <v>554</v>
      </c>
      <c r="B17" s="1" t="str">
        <f aca="false">Game_Log_2015_2017!A17</f>
        <v>2016-12-08</v>
      </c>
      <c r="C17" s="1" t="str">
        <f aca="false">Game_Log_2015_2017!D17</f>
        <v>Kansas City Chiefs</v>
      </c>
      <c r="D17" s="1" t="str">
        <f aca="false">Game_Log_2015_2017!E17</f>
        <v>Oakland Raiders</v>
      </c>
      <c r="E17" s="3" t="str">
        <f aca="false">Game_Log_2015_2017!I17</f>
        <v>Raiders / Chiefs Color Rush</v>
      </c>
      <c r="F17" s="12" t="s">
        <v>525</v>
      </c>
      <c r="G17" s="8" t="s">
        <v>555</v>
      </c>
      <c r="H17" s="8" t="s">
        <v>556</v>
      </c>
      <c r="I17" s="8"/>
      <c r="J17" s="8"/>
      <c r="K17" s="8"/>
      <c r="L17" s="8"/>
      <c r="M17" s="8"/>
      <c r="N17" s="8"/>
      <c r="O17" s="1" t="str">
        <f aca="false">IF(COUNT(M17:N17)=0,"",MIN(M17:N17))</f>
        <v/>
      </c>
      <c r="P17" s="1" t="str">
        <f aca="false">IF(O17="","",IF(O17&lt;=2,1,0))</f>
        <v/>
      </c>
      <c r="Q17" s="8"/>
      <c r="R17" s="8"/>
      <c r="S17" s="8"/>
      <c r="T17" s="8"/>
      <c r="U17" s="13" t="s">
        <v>343</v>
      </c>
      <c r="V17" s="8"/>
      <c r="W17" s="8"/>
      <c r="X17" s="13"/>
    </row>
    <row r="18" customFormat="false" ht="15" hidden="false" customHeight="true" outlineLevel="0" collapsed="false">
      <c r="A18" s="1" t="s">
        <v>557</v>
      </c>
      <c r="B18" s="1" t="str">
        <f aca="false">Game_Log_2015_2017!A18</f>
        <v>2016-12-15</v>
      </c>
      <c r="C18" s="1" t="str">
        <f aca="false">Game_Log_2015_2017!D18</f>
        <v>Seattle Seahawks</v>
      </c>
      <c r="D18" s="1" t="str">
        <f aca="false">Game_Log_2015_2017!E18</f>
        <v>Los Angeles Rams</v>
      </c>
      <c r="E18" s="3" t="str">
        <f aca="false">Game_Log_2015_2017!I18</f>
        <v>Rams / Seahawks Color Rush</v>
      </c>
      <c r="F18" s="12" t="s">
        <v>525</v>
      </c>
      <c r="G18" s="8" t="s">
        <v>558</v>
      </c>
      <c r="H18" s="8" t="s">
        <v>559</v>
      </c>
      <c r="I18" s="8"/>
      <c r="J18" s="8"/>
      <c r="K18" s="8"/>
      <c r="L18" s="8"/>
      <c r="M18" s="8"/>
      <c r="N18" s="8"/>
      <c r="O18" s="1" t="str">
        <f aca="false">IF(COUNT(M18:N18)=0,"",MIN(M18:N18))</f>
        <v/>
      </c>
      <c r="P18" s="1" t="str">
        <f aca="false">IF(O18="","",IF(O18&lt;=2,1,0))</f>
        <v/>
      </c>
      <c r="Q18" s="8"/>
      <c r="R18" s="8"/>
      <c r="S18" s="8"/>
      <c r="T18" s="8"/>
      <c r="U18" s="13" t="s">
        <v>273</v>
      </c>
      <c r="V18" s="8"/>
      <c r="W18" s="8"/>
      <c r="X18" s="13"/>
    </row>
    <row r="19" customFormat="false" ht="15" hidden="false" customHeight="true" outlineLevel="0" collapsed="false">
      <c r="A19" s="1" t="s">
        <v>560</v>
      </c>
      <c r="B19" s="1" t="str">
        <f aca="false">Game_Log_2015_2017!A19</f>
        <v>2016-12-22</v>
      </c>
      <c r="C19" s="1" t="str">
        <f aca="false">Game_Log_2015_2017!D19</f>
        <v>Philadelphia Eagles</v>
      </c>
      <c r="D19" s="1" t="str">
        <f aca="false">Game_Log_2015_2017!E19</f>
        <v>New York Giants</v>
      </c>
      <c r="E19" s="3" t="str">
        <f aca="false">Game_Log_2015_2017!I19</f>
        <v>Giants / Eagles Color Rush</v>
      </c>
      <c r="F19" s="12" t="s">
        <v>525</v>
      </c>
      <c r="G19" s="8" t="s">
        <v>561</v>
      </c>
      <c r="H19" s="8" t="s">
        <v>562</v>
      </c>
      <c r="I19" s="8"/>
      <c r="J19" s="8"/>
      <c r="K19" s="8"/>
      <c r="L19" s="8"/>
      <c r="M19" s="8"/>
      <c r="N19" s="8"/>
      <c r="O19" s="1" t="str">
        <f aca="false">IF(COUNT(M19:N19)=0,"",MIN(M19:N19))</f>
        <v/>
      </c>
      <c r="P19" s="1" t="str">
        <f aca="false">IF(O19="","",IF(O19&lt;=2,1,0))</f>
        <v/>
      </c>
      <c r="Q19" s="8"/>
      <c r="R19" s="8"/>
      <c r="S19" s="8"/>
      <c r="T19" s="8"/>
      <c r="U19" s="13" t="s">
        <v>273</v>
      </c>
      <c r="V19" s="8"/>
      <c r="W19" s="8"/>
      <c r="X19" s="13"/>
    </row>
    <row r="20" customFormat="false" ht="15" hidden="false" customHeight="true" outlineLevel="0" collapsed="false">
      <c r="A20" s="1" t="s">
        <v>563</v>
      </c>
      <c r="B20" s="1" t="str">
        <f aca="false">Game_Log_2015_2017!A20</f>
        <v>2017-09-14</v>
      </c>
      <c r="C20" s="1" t="str">
        <f aca="false">Game_Log_2015_2017!D20</f>
        <v>Cincinnati Bengals</v>
      </c>
      <c r="D20" s="1" t="str">
        <f aca="false">Game_Log_2015_2017!E20</f>
        <v>Houston Texans</v>
      </c>
      <c r="E20" s="3" t="str">
        <f aca="false">Game_Log_2015_2017!I20</f>
        <v>Texans / Bengals Color Rush</v>
      </c>
      <c r="F20" s="12" t="s">
        <v>525</v>
      </c>
      <c r="G20" s="8" t="s">
        <v>529</v>
      </c>
      <c r="H20" s="8" t="s">
        <v>564</v>
      </c>
      <c r="I20" s="8"/>
      <c r="J20" s="8"/>
      <c r="K20" s="8"/>
      <c r="L20" s="8"/>
      <c r="M20" s="8"/>
      <c r="N20" s="8"/>
      <c r="O20" s="1" t="str">
        <f aca="false">IF(COUNT(M20:N20)=0,"",MIN(M20:N20))</f>
        <v/>
      </c>
      <c r="P20" s="1" t="str">
        <f aca="false">IF(O20="","",IF(O20&lt;=2,1,0))</f>
        <v/>
      </c>
      <c r="Q20" s="8"/>
      <c r="R20" s="8"/>
      <c r="S20" s="8"/>
      <c r="T20" s="8"/>
      <c r="U20" s="13" t="s">
        <v>273</v>
      </c>
      <c r="V20" s="8"/>
      <c r="W20" s="8"/>
      <c r="X20" s="13"/>
    </row>
    <row r="21" customFormat="false" ht="15" hidden="false" customHeight="true" outlineLevel="0" collapsed="false">
      <c r="A21" s="1" t="s">
        <v>565</v>
      </c>
      <c r="B21" s="1" t="str">
        <f aca="false">Game_Log_2015_2017!A21</f>
        <v>2017-09-21</v>
      </c>
      <c r="C21" s="1" t="str">
        <f aca="false">Game_Log_2015_2017!D21</f>
        <v>San Francisco 49ers</v>
      </c>
      <c r="D21" s="1" t="str">
        <f aca="false">Game_Log_2015_2017!E21</f>
        <v>Los Angeles Rams</v>
      </c>
      <c r="E21" s="3" t="str">
        <f aca="false">Game_Log_2015_2017!I21</f>
        <v>Rams / 49ers Color Rush</v>
      </c>
      <c r="F21" s="12"/>
      <c r="G21" s="8"/>
      <c r="H21" s="8"/>
      <c r="I21" s="8"/>
      <c r="J21" s="8"/>
      <c r="K21" s="8"/>
      <c r="L21" s="8"/>
      <c r="M21" s="8"/>
      <c r="N21" s="8"/>
      <c r="O21" s="1" t="str">
        <f aca="false">IF(COUNT(M21:N21)=0,"",MIN(M21:N21))</f>
        <v/>
      </c>
      <c r="P21" s="1" t="str">
        <f aca="false">IF(O21="","",IF(O21&lt;=2,1,0))</f>
        <v/>
      </c>
      <c r="Q21" s="8"/>
      <c r="R21" s="8"/>
      <c r="S21" s="8"/>
      <c r="T21" s="8"/>
      <c r="U21" s="13"/>
      <c r="V21" s="8"/>
      <c r="W21" s="8"/>
      <c r="X21" s="13"/>
    </row>
    <row r="22" customFormat="false" ht="15" hidden="false" customHeight="true" outlineLevel="0" collapsed="false">
      <c r="A22" s="1" t="s">
        <v>566</v>
      </c>
      <c r="B22" s="1" t="str">
        <f aca="false">Game_Log_2015_2017!A22</f>
        <v>2017-09-28</v>
      </c>
      <c r="C22" s="1" t="str">
        <f aca="false">Game_Log_2015_2017!D22</f>
        <v>Green Bay Packers</v>
      </c>
      <c r="D22" s="1" t="str">
        <f aca="false">Game_Log_2015_2017!E22</f>
        <v>Chicago Bears</v>
      </c>
      <c r="E22" s="3" t="str">
        <f aca="false">Game_Log_2015_2017!I22</f>
        <v>Bears / Packers Color Rush</v>
      </c>
      <c r="F22" s="12"/>
      <c r="G22" s="8"/>
      <c r="H22" s="8"/>
      <c r="I22" s="8"/>
      <c r="J22" s="8"/>
      <c r="K22" s="8"/>
      <c r="L22" s="8"/>
      <c r="M22" s="8"/>
      <c r="N22" s="8"/>
      <c r="O22" s="1" t="str">
        <f aca="false">IF(COUNT(M22:N22)=0,"",MIN(M22:N22))</f>
        <v/>
      </c>
      <c r="P22" s="1" t="str">
        <f aca="false">IF(O22="","",IF(O22&lt;=2,1,0))</f>
        <v/>
      </c>
      <c r="Q22" s="8"/>
      <c r="R22" s="8"/>
      <c r="S22" s="8"/>
      <c r="T22" s="8"/>
      <c r="U22" s="13"/>
      <c r="V22" s="8"/>
      <c r="W22" s="8"/>
      <c r="X22" s="13"/>
    </row>
    <row r="23" customFormat="false" ht="15" hidden="false" customHeight="true" outlineLevel="0" collapsed="false">
      <c r="A23" s="1" t="s">
        <v>567</v>
      </c>
      <c r="B23" s="1" t="str">
        <f aca="false">Game_Log_2015_2017!A23</f>
        <v>2017-10-05</v>
      </c>
      <c r="C23" s="1" t="str">
        <f aca="false">Game_Log_2015_2017!D23</f>
        <v>Tampa Bay Buccaneers</v>
      </c>
      <c r="D23" s="1" t="str">
        <f aca="false">Game_Log_2015_2017!E23</f>
        <v>New England Patriots</v>
      </c>
      <c r="E23" s="3" t="str">
        <f aca="false">Game_Log_2015_2017!I23</f>
        <v>Patriots / Buccaneers Color Rush</v>
      </c>
      <c r="F23" s="12" t="s">
        <v>525</v>
      </c>
      <c r="G23" s="8" t="s">
        <v>568</v>
      </c>
      <c r="H23" s="8" t="s">
        <v>569</v>
      </c>
      <c r="I23" s="8"/>
      <c r="J23" s="8"/>
      <c r="K23" s="8"/>
      <c r="L23" s="8"/>
      <c r="M23" s="8"/>
      <c r="N23" s="8"/>
      <c r="O23" s="1" t="str">
        <f aca="false">IF(COUNT(M23:N23)=0,"",MIN(M23:N23))</f>
        <v/>
      </c>
      <c r="P23" s="1" t="str">
        <f aca="false">IF(O23="","",IF(O23&lt;=2,1,0))</f>
        <v/>
      </c>
      <c r="Q23" s="8"/>
      <c r="R23" s="8"/>
      <c r="S23" s="8"/>
      <c r="T23" s="8"/>
      <c r="U23" s="13" t="s">
        <v>273</v>
      </c>
      <c r="V23" s="8"/>
      <c r="W23" s="8"/>
      <c r="X23" s="13"/>
    </row>
    <row r="24" customFormat="false" ht="15" hidden="false" customHeight="true" outlineLevel="0" collapsed="false">
      <c r="A24" s="1" t="s">
        <v>570</v>
      </c>
      <c r="B24" s="1" t="str">
        <f aca="false">Game_Log_2015_2017!A24</f>
        <v>2017-10-12</v>
      </c>
      <c r="C24" s="1" t="str">
        <f aca="false">Game_Log_2015_2017!D24</f>
        <v>Carolina Panthers</v>
      </c>
      <c r="D24" s="1" t="str">
        <f aca="false">Game_Log_2015_2017!E24</f>
        <v>Philadelphia Eagles</v>
      </c>
      <c r="E24" s="3" t="str">
        <f aca="false">Game_Log_2015_2017!I24</f>
        <v>Eagles / Panthers Color Rush</v>
      </c>
      <c r="F24" s="12"/>
      <c r="G24" s="8"/>
      <c r="H24" s="8"/>
      <c r="I24" s="8"/>
      <c r="J24" s="8"/>
      <c r="K24" s="8"/>
      <c r="L24" s="8"/>
      <c r="M24" s="8"/>
      <c r="N24" s="8"/>
      <c r="O24" s="1" t="str">
        <f aca="false">IF(COUNT(M24:N24)=0,"",MIN(M24:N24))</f>
        <v/>
      </c>
      <c r="P24" s="1" t="str">
        <f aca="false">IF(O24="","",IF(O24&lt;=2,1,0))</f>
        <v/>
      </c>
      <c r="Q24" s="8"/>
      <c r="R24" s="8"/>
      <c r="S24" s="8"/>
      <c r="T24" s="8"/>
      <c r="U24" s="13"/>
      <c r="V24" s="8"/>
      <c r="W24" s="8"/>
      <c r="X24" s="13"/>
    </row>
    <row r="25" customFormat="false" ht="15" hidden="false" customHeight="true" outlineLevel="0" collapsed="false">
      <c r="A25" s="1" t="s">
        <v>571</v>
      </c>
      <c r="B25" s="1" t="str">
        <f aca="false">Game_Log_2015_2017!A25</f>
        <v>2017-10-19</v>
      </c>
      <c r="C25" s="1" t="str">
        <f aca="false">Game_Log_2015_2017!D25</f>
        <v>Oakland Raiders</v>
      </c>
      <c r="D25" s="1" t="str">
        <f aca="false">Game_Log_2015_2017!E25</f>
        <v>Kansas City Chiefs</v>
      </c>
      <c r="E25" s="3" t="str">
        <f aca="false">Game_Log_2015_2017!I25</f>
        <v>Chiefs / Raiders Color Rush</v>
      </c>
      <c r="F25" s="12"/>
      <c r="G25" s="8"/>
      <c r="H25" s="8"/>
      <c r="I25" s="8"/>
      <c r="J25" s="8"/>
      <c r="K25" s="8"/>
      <c r="L25" s="8"/>
      <c r="M25" s="8"/>
      <c r="N25" s="8"/>
      <c r="O25" s="1" t="str">
        <f aca="false">IF(COUNT(M25:N25)=0,"",MIN(M25:N25))</f>
        <v/>
      </c>
      <c r="P25" s="1" t="str">
        <f aca="false">IF(O25="","",IF(O25&lt;=2,1,0))</f>
        <v/>
      </c>
      <c r="Q25" s="8"/>
      <c r="R25" s="8"/>
      <c r="S25" s="8"/>
      <c r="T25" s="8"/>
      <c r="U25" s="13"/>
      <c r="V25" s="8"/>
      <c r="W25" s="8"/>
      <c r="X25" s="13"/>
    </row>
    <row r="26" customFormat="false" ht="15" hidden="false" customHeight="true" outlineLevel="0" collapsed="false">
      <c r="A26" s="1" t="s">
        <v>572</v>
      </c>
      <c r="B26" s="1" t="str">
        <f aca="false">Game_Log_2015_2017!A26</f>
        <v>2017-10-26</v>
      </c>
      <c r="C26" s="1" t="str">
        <f aca="false">Game_Log_2015_2017!D26</f>
        <v>Baltimore Ravens</v>
      </c>
      <c r="D26" s="1" t="str">
        <f aca="false">Game_Log_2015_2017!E26</f>
        <v>Miami Dolphins</v>
      </c>
      <c r="E26" s="3" t="str">
        <f aca="false">Game_Log_2015_2017!I26</f>
        <v>Dolphins / Ravens Color Rush</v>
      </c>
      <c r="F26" s="12"/>
      <c r="G26" s="8"/>
      <c r="H26" s="8"/>
      <c r="I26" s="8"/>
      <c r="J26" s="8"/>
      <c r="K26" s="8"/>
      <c r="L26" s="8"/>
      <c r="M26" s="8"/>
      <c r="N26" s="8"/>
      <c r="O26" s="1" t="str">
        <f aca="false">IF(COUNT(M26:N26)=0,"",MIN(M26:N26))</f>
        <v/>
      </c>
      <c r="P26" s="1" t="str">
        <f aca="false">IF(O26="","",IF(O26&lt;=2,1,0))</f>
        <v/>
      </c>
      <c r="Q26" s="8"/>
      <c r="R26" s="8"/>
      <c r="S26" s="8"/>
      <c r="T26" s="8"/>
      <c r="U26" s="13"/>
      <c r="V26" s="8"/>
      <c r="W26" s="8"/>
      <c r="X26" s="13"/>
    </row>
    <row r="27" customFormat="false" ht="15" hidden="false" customHeight="true" outlineLevel="0" collapsed="false">
      <c r="A27" s="1" t="s">
        <v>573</v>
      </c>
      <c r="B27" s="1" t="str">
        <f aca="false">Game_Log_2015_2017!A27</f>
        <v>2017-11-02</v>
      </c>
      <c r="C27" s="1" t="str">
        <f aca="false">Game_Log_2015_2017!D27</f>
        <v>New York Jets</v>
      </c>
      <c r="D27" s="1" t="str">
        <f aca="false">Game_Log_2015_2017!E27</f>
        <v>Buffalo Bills</v>
      </c>
      <c r="E27" s="3" t="str">
        <f aca="false">Game_Log_2015_2017!I27</f>
        <v>Bills / Jets Color Rush</v>
      </c>
      <c r="F27" s="12" t="s">
        <v>506</v>
      </c>
      <c r="G27" s="8" t="s">
        <v>574</v>
      </c>
      <c r="H27" s="8" t="s">
        <v>575</v>
      </c>
      <c r="I27" s="8"/>
      <c r="J27" s="8"/>
      <c r="K27" s="8"/>
      <c r="L27" s="8"/>
      <c r="M27" s="8"/>
      <c r="N27" s="8"/>
      <c r="O27" s="1" t="str">
        <f aca="false">IF(COUNT(M27:N27)=0,"",MIN(M27:N27))</f>
        <v/>
      </c>
      <c r="P27" s="1" t="str">
        <f aca="false">IF(O27="","",IF(O27&lt;=2,1,0))</f>
        <v/>
      </c>
      <c r="Q27" s="8"/>
      <c r="R27" s="8"/>
      <c r="S27" s="8"/>
      <c r="T27" s="8"/>
      <c r="U27" s="13" t="s">
        <v>339</v>
      </c>
      <c r="V27" s="8"/>
      <c r="W27" s="8"/>
      <c r="X27" s="13" t="s">
        <v>576</v>
      </c>
    </row>
    <row r="28" customFormat="false" ht="15" hidden="false" customHeight="true" outlineLevel="0" collapsed="false">
      <c r="A28" s="1" t="s">
        <v>577</v>
      </c>
      <c r="B28" s="1" t="str">
        <f aca="false">Game_Log_2015_2017!A28</f>
        <v>2017-11-09</v>
      </c>
      <c r="C28" s="1" t="str">
        <f aca="false">Game_Log_2015_2017!D28</f>
        <v>Arizona Cardinals</v>
      </c>
      <c r="D28" s="1" t="str">
        <f aca="false">Game_Log_2015_2017!E28</f>
        <v>Seattle Seahawks</v>
      </c>
      <c r="E28" s="3" t="str">
        <f aca="false">Game_Log_2015_2017!I28</f>
        <v>Seahawks / Cardinals Color Rush</v>
      </c>
      <c r="F28" s="12"/>
      <c r="G28" s="8"/>
      <c r="H28" s="8"/>
      <c r="I28" s="8"/>
      <c r="J28" s="8"/>
      <c r="K28" s="8"/>
      <c r="L28" s="8"/>
      <c r="M28" s="8"/>
      <c r="N28" s="8"/>
      <c r="O28" s="1" t="str">
        <f aca="false">IF(COUNT(M28:N28)=0,"",MIN(M28:N28))</f>
        <v/>
      </c>
      <c r="P28" s="1" t="str">
        <f aca="false">IF(O28="","",IF(O28&lt;=2,1,0))</f>
        <v/>
      </c>
      <c r="Q28" s="8"/>
      <c r="R28" s="8"/>
      <c r="S28" s="8"/>
      <c r="T28" s="8"/>
      <c r="U28" s="13"/>
      <c r="V28" s="8"/>
      <c r="W28" s="8"/>
      <c r="X28" s="13"/>
    </row>
    <row r="29" customFormat="false" ht="15" hidden="false" customHeight="true" outlineLevel="0" collapsed="false">
      <c r="A29" s="1" t="s">
        <v>578</v>
      </c>
      <c r="B29" s="1" t="str">
        <f aca="false">Game_Log_2015_2017!A29</f>
        <v>2017-11-16</v>
      </c>
      <c r="C29" s="1" t="str">
        <f aca="false">Game_Log_2015_2017!D29</f>
        <v>Pittsburgh Steelers</v>
      </c>
      <c r="D29" s="1" t="str">
        <f aca="false">Game_Log_2015_2017!E29</f>
        <v>Tennessee Titans</v>
      </c>
      <c r="E29" s="3" t="str">
        <f aca="false">Game_Log_2015_2017!I29</f>
        <v>Titans / Steelers Color Rush</v>
      </c>
      <c r="F29" s="12"/>
      <c r="G29" s="8"/>
      <c r="H29" s="8"/>
      <c r="I29" s="8"/>
      <c r="J29" s="8"/>
      <c r="K29" s="8"/>
      <c r="L29" s="8"/>
      <c r="M29" s="8"/>
      <c r="N29" s="8"/>
      <c r="O29" s="1" t="str">
        <f aca="false">IF(COUNT(M29:N29)=0,"",MIN(M29:N29))</f>
        <v/>
      </c>
      <c r="P29" s="1" t="str">
        <f aca="false">IF(O29="","",IF(O29&lt;=2,1,0))</f>
        <v/>
      </c>
      <c r="Q29" s="8"/>
      <c r="R29" s="8"/>
      <c r="S29" s="8"/>
      <c r="T29" s="8"/>
      <c r="U29" s="13"/>
      <c r="V29" s="8"/>
      <c r="W29" s="8"/>
      <c r="X29" s="13"/>
    </row>
    <row r="30" customFormat="false" ht="27.75" hidden="false" customHeight="true" outlineLevel="0" collapsed="false">
      <c r="A30" s="1" t="s">
        <v>579</v>
      </c>
      <c r="B30" s="1" t="str">
        <f aca="false">Game_Log_2015_2017!A30</f>
        <v>2017-11-23</v>
      </c>
      <c r="C30" s="1" t="str">
        <f aca="false">Game_Log_2015_2017!D30</f>
        <v>Washington Redskins</v>
      </c>
      <c r="D30" s="1" t="str">
        <f aca="false">Game_Log_2015_2017!E30</f>
        <v>New York Giants</v>
      </c>
      <c r="E30" s="3" t="str">
        <f aca="false">Game_Log_2015_2017!I30</f>
        <v>Giants / Washington alternate combination</v>
      </c>
      <c r="F30" s="12" t="s">
        <v>580</v>
      </c>
      <c r="G30" s="8" t="s">
        <v>581</v>
      </c>
      <c r="H30" s="8" t="s">
        <v>582</v>
      </c>
      <c r="I30" s="8"/>
      <c r="J30" s="8"/>
      <c r="K30" s="8"/>
      <c r="L30" s="8"/>
      <c r="M30" s="8"/>
      <c r="N30" s="8"/>
      <c r="O30" s="1" t="str">
        <f aca="false">IF(COUNT(M30:N30)=0,"",MIN(M30:N30))</f>
        <v/>
      </c>
      <c r="P30" s="1" t="str">
        <f aca="false">IF(O30="","",IF(O30&lt;=2,1,0))</f>
        <v/>
      </c>
      <c r="Q30" s="8"/>
      <c r="R30" s="8"/>
      <c r="S30" s="8"/>
      <c r="T30" s="8"/>
      <c r="U30" s="13" t="s">
        <v>273</v>
      </c>
      <c r="V30" s="8"/>
      <c r="W30" s="8"/>
      <c r="X30" s="13" t="s">
        <v>583</v>
      </c>
    </row>
    <row r="31" customFormat="false" ht="15" hidden="false" customHeight="true" outlineLevel="0" collapsed="false">
      <c r="A31" s="1" t="s">
        <v>584</v>
      </c>
      <c r="B31" s="1" t="str">
        <f aca="false">Game_Log_2015_2017!A31</f>
        <v>2017-11-30</v>
      </c>
      <c r="C31" s="1" t="str">
        <f aca="false">Game_Log_2015_2017!D31</f>
        <v>Dallas Cowboys</v>
      </c>
      <c r="D31" s="1" t="str">
        <f aca="false">Game_Log_2015_2017!E31</f>
        <v>Washington Redskins</v>
      </c>
      <c r="E31" s="3" t="str">
        <f aca="false">Game_Log_2015_2017!I31</f>
        <v>Washington / Cowboys Color Rush</v>
      </c>
      <c r="F31" s="12" t="s">
        <v>525</v>
      </c>
      <c r="G31" s="8" t="s">
        <v>585</v>
      </c>
      <c r="H31" s="8" t="s">
        <v>586</v>
      </c>
      <c r="I31" s="8"/>
      <c r="J31" s="8"/>
      <c r="K31" s="8"/>
      <c r="L31" s="8"/>
      <c r="M31" s="8"/>
      <c r="N31" s="8"/>
      <c r="O31" s="1" t="str">
        <f aca="false">IF(COUNT(M31:N31)=0,"",MIN(M31:N31))</f>
        <v/>
      </c>
      <c r="P31" s="1" t="str">
        <f aca="false">IF(O31="","",IF(O31&lt;=2,1,0))</f>
        <v/>
      </c>
      <c r="Q31" s="8"/>
      <c r="R31" s="8"/>
      <c r="S31" s="8"/>
      <c r="T31" s="8"/>
      <c r="U31" s="13" t="s">
        <v>273</v>
      </c>
      <c r="V31" s="8"/>
      <c r="W31" s="8"/>
      <c r="X31" s="13"/>
    </row>
    <row r="32" customFormat="false" ht="15" hidden="false" customHeight="true" outlineLevel="0" collapsed="false">
      <c r="A32" s="1" t="s">
        <v>587</v>
      </c>
      <c r="B32" s="1" t="str">
        <f aca="false">Game_Log_2015_2017!A32</f>
        <v>2017-12-07</v>
      </c>
      <c r="C32" s="1" t="str">
        <f aca="false">Game_Log_2015_2017!D32</f>
        <v>Atlanta Falcons</v>
      </c>
      <c r="D32" s="1" t="str">
        <f aca="false">Game_Log_2015_2017!E32</f>
        <v>New Orleans Saints</v>
      </c>
      <c r="E32" s="3" t="str">
        <f aca="false">Game_Log_2015_2017!I32</f>
        <v>Saints / Falcons Color Rush</v>
      </c>
      <c r="F32" s="12" t="s">
        <v>525</v>
      </c>
      <c r="G32" s="8" t="s">
        <v>588</v>
      </c>
      <c r="H32" s="8" t="s">
        <v>550</v>
      </c>
      <c r="I32" s="8"/>
      <c r="J32" s="8"/>
      <c r="K32" s="8"/>
      <c r="L32" s="8"/>
      <c r="M32" s="8"/>
      <c r="N32" s="8"/>
      <c r="O32" s="1" t="str">
        <f aca="false">IF(COUNT(M32:N32)=0,"",MIN(M32:N32))</f>
        <v/>
      </c>
      <c r="P32" s="1" t="str">
        <f aca="false">IF(O32="","",IF(O32&lt;=2,1,0))</f>
        <v/>
      </c>
      <c r="Q32" s="8"/>
      <c r="R32" s="8"/>
      <c r="S32" s="8"/>
      <c r="T32" s="8"/>
      <c r="U32" s="13" t="s">
        <v>273</v>
      </c>
      <c r="V32" s="8"/>
      <c r="W32" s="8"/>
      <c r="X32" s="13"/>
    </row>
    <row r="33" customFormat="false" ht="15" hidden="false" customHeight="true" outlineLevel="0" collapsed="false">
      <c r="A33" s="1" t="s">
        <v>589</v>
      </c>
      <c r="B33" s="1" t="str">
        <f aca="false">Game_Log_2015_2017!A33</f>
        <v>2017-12-14</v>
      </c>
      <c r="C33" s="1" t="str">
        <f aca="false">Game_Log_2015_2017!D33</f>
        <v>Indianapolis Colts</v>
      </c>
      <c r="D33" s="1" t="str">
        <f aca="false">Game_Log_2015_2017!E33</f>
        <v>Denver Broncos</v>
      </c>
      <c r="E33" s="3" t="str">
        <f aca="false">Game_Log_2015_2017!I33</f>
        <v>Broncos / Colts Color Rush</v>
      </c>
      <c r="F33" s="12"/>
      <c r="G33" s="8"/>
      <c r="H33" s="8"/>
      <c r="I33" s="8"/>
      <c r="J33" s="8"/>
      <c r="K33" s="8"/>
      <c r="L33" s="8"/>
      <c r="M33" s="8"/>
      <c r="N33" s="8"/>
      <c r="O33" s="1" t="str">
        <f aca="false">IF(COUNT(M33:N33)=0,"",MIN(M33:N33))</f>
        <v/>
      </c>
      <c r="P33" s="1" t="str">
        <f aca="false">IF(O33="","",IF(O33&lt;=2,1,0))</f>
        <v/>
      </c>
      <c r="Q33" s="8"/>
      <c r="R33" s="8"/>
      <c r="S33" s="8"/>
      <c r="T33" s="8"/>
      <c r="U33" s="13"/>
      <c r="V33" s="8"/>
      <c r="W33" s="8"/>
      <c r="X33" s="13"/>
    </row>
    <row r="34" customFormat="false" ht="15" hidden="false" customHeight="true" outlineLevel="0" collapsed="false">
      <c r="E34" s="3"/>
      <c r="U34" s="3"/>
      <c r="X34" s="3"/>
    </row>
  </sheetData>
  <autoFilter ref="A1:X33"/>
  <dataValidations count="3">
    <dataValidation allowBlank="true" error="Enter a whole number from 1 to 5, or leave blank if not verified." errorStyle="stop" errorTitle="Score 1-5" operator="between" showDropDown="false" showErrorMessage="false" showInputMessage="false" sqref="L2:N33" type="whole">
      <formula1>1</formula1>
      <formula2>5</formula2>
    </dataValidation>
    <dataValidation allowBlank="true" errorStyle="stop" operator="between" showDropDown="false" showErrorMessage="false" showInputMessage="false" sqref="F2:F33" type="list">
      <formula1>"yes,partial,no"</formula1>
      <formula2>0</formula2>
    </dataValidation>
    <dataValidation allowBlank="true" errorStyle="stop" operator="between" showDropDown="false" showErrorMessage="false" showInputMessage="false" sqref="T2:T33" type="list">
      <formula1>"high,medium,low"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120"/>
  </cols>
  <sheetData>
    <row r="1" customFormat="false" ht="15" hidden="false" customHeight="true" outlineLevel="0" collapsed="false">
      <c r="A1" s="4" t="s">
        <v>0</v>
      </c>
      <c r="B1" s="4" t="s">
        <v>1</v>
      </c>
    </row>
    <row r="2" customFormat="false" ht="27.75" hidden="false" customHeight="true" outlineLevel="0" collapsed="false">
      <c r="A2" s="3" t="s">
        <v>590</v>
      </c>
      <c r="B2" s="3" t="s">
        <v>591</v>
      </c>
    </row>
    <row r="3" customFormat="false" ht="27.75" hidden="false" customHeight="true" outlineLevel="0" collapsed="false">
      <c r="A3" s="3" t="s">
        <v>592</v>
      </c>
      <c r="B3" s="3" t="s">
        <v>593</v>
      </c>
    </row>
    <row r="4" customFormat="false" ht="15" hidden="false" customHeight="true" outlineLevel="0" collapsed="false">
      <c r="A4" s="3" t="s">
        <v>594</v>
      </c>
      <c r="B4" s="3" t="s">
        <v>595</v>
      </c>
    </row>
    <row r="5" customFormat="false" ht="15" hidden="false" customHeight="true" outlineLevel="0" collapsed="false">
      <c r="A5" s="3" t="s">
        <v>596</v>
      </c>
      <c r="B5" s="3" t="s">
        <v>597</v>
      </c>
    </row>
    <row r="6" customFormat="false" ht="15" hidden="false" customHeight="true" outlineLevel="0" collapsed="false">
      <c r="A6" s="3" t="s">
        <v>598</v>
      </c>
      <c r="B6" s="3" t="s">
        <v>599</v>
      </c>
    </row>
    <row r="7" customFormat="false" ht="15" hidden="false" customHeight="true" outlineLevel="0" collapsed="false">
      <c r="A7" s="3" t="s">
        <v>600</v>
      </c>
      <c r="B7" s="3" t="s">
        <v>601</v>
      </c>
    </row>
    <row r="8" customFormat="false" ht="15" hidden="false" customHeight="true" outlineLevel="0" collapsed="false">
      <c r="A8" s="3" t="s">
        <v>602</v>
      </c>
      <c r="B8" s="3" t="s">
        <v>603</v>
      </c>
    </row>
    <row r="9" customFormat="false" ht="27.75" hidden="false" customHeight="true" outlineLevel="0" collapsed="false">
      <c r="A9" s="3" t="s">
        <v>604</v>
      </c>
      <c r="B9" s="3" t="s">
        <v>605</v>
      </c>
    </row>
    <row r="10" customFormat="false" ht="27.75" hidden="false" customHeight="true" outlineLevel="0" collapsed="false">
      <c r="A10" s="3" t="s">
        <v>606</v>
      </c>
      <c r="B10" s="3" t="s">
        <v>607</v>
      </c>
    </row>
    <row r="11" customFormat="false" ht="41.25" hidden="false" customHeight="true" outlineLevel="0" collapsed="false">
      <c r="A11" s="3" t="s">
        <v>608</v>
      </c>
      <c r="B11" s="3" t="s">
        <v>609</v>
      </c>
    </row>
    <row r="12" customFormat="false" ht="41.25" hidden="false" customHeight="true" outlineLevel="0" collapsed="false">
      <c r="A12" s="3" t="s">
        <v>610</v>
      </c>
      <c r="B12" s="3" t="s">
        <v>611</v>
      </c>
    </row>
    <row r="13" customFormat="false" ht="15" hidden="false" customHeight="true" outlineLevel="0" collapsed="false">
      <c r="A13" s="3" t="s">
        <v>612</v>
      </c>
      <c r="B13" s="3" t="s">
        <v>613</v>
      </c>
    </row>
    <row r="14" customFormat="false" ht="41.25" hidden="false" customHeight="true" outlineLevel="0" collapsed="false">
      <c r="A14" s="3" t="s">
        <v>16</v>
      </c>
      <c r="B14" s="3" t="s">
        <v>614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6" min="1" style="1" width="12"/>
    <col collapsed="false" customWidth="true" hidden="false" outlineLevel="0" max="7" min="7" style="1" width="16"/>
    <col collapsed="false" customWidth="true" hidden="false" outlineLevel="0" max="8" min="8" style="1" width="17"/>
    <col collapsed="false" customWidth="true" hidden="false" outlineLevel="0" max="9" min="9" style="1" width="18"/>
    <col collapsed="false" customWidth="true" hidden="false" outlineLevel="0" max="10" min="10" style="1" width="21"/>
    <col collapsed="false" customWidth="true" hidden="false" outlineLevel="0" max="11" min="11" style="1" width="15"/>
    <col collapsed="false" customWidth="true" hidden="false" outlineLevel="0" max="13" min="12" style="1" width="14"/>
    <col collapsed="false" customWidth="true" hidden="false" outlineLevel="0" max="15" min="14" style="1" width="12"/>
  </cols>
  <sheetData>
    <row r="1" customFormat="false" ht="27.75" hidden="false" customHeight="true" outlineLevel="0" collapsed="false">
      <c r="A1" s="2" t="s">
        <v>22</v>
      </c>
      <c r="B1" s="2" t="s">
        <v>23</v>
      </c>
      <c r="C1" s="2" t="s">
        <v>24</v>
      </c>
      <c r="D1" s="2" t="s">
        <v>25</v>
      </c>
      <c r="E1" s="2" t="s">
        <v>26</v>
      </c>
      <c r="F1" s="2" t="s">
        <v>29</v>
      </c>
      <c r="G1" s="2" t="s">
        <v>615</v>
      </c>
      <c r="H1" s="2" t="s">
        <v>616</v>
      </c>
      <c r="I1" s="2" t="s">
        <v>34</v>
      </c>
      <c r="J1" s="2" t="s">
        <v>617</v>
      </c>
      <c r="K1" s="2" t="s">
        <v>618</v>
      </c>
      <c r="L1" s="2" t="s">
        <v>619</v>
      </c>
      <c r="M1" s="2" t="s">
        <v>42</v>
      </c>
      <c r="N1" s="2" t="s">
        <v>33</v>
      </c>
      <c r="O1" s="2" t="s">
        <v>368</v>
      </c>
    </row>
    <row r="2" customFormat="false" ht="189" hidden="false" customHeight="true" outlineLevel="0" collapsed="false">
      <c r="A2" s="2" t="s">
        <v>620</v>
      </c>
      <c r="B2" s="2" t="n">
        <v>2015</v>
      </c>
      <c r="C2" s="2" t="n">
        <v>2</v>
      </c>
      <c r="D2" s="2" t="s">
        <v>144</v>
      </c>
      <c r="E2" s="2" t="s">
        <v>108</v>
      </c>
      <c r="F2" s="2" t="s">
        <v>621</v>
      </c>
      <c r="G2" s="2" t="s">
        <v>622</v>
      </c>
      <c r="H2" s="2" t="s">
        <v>623</v>
      </c>
      <c r="I2" s="2" t="n">
        <v>21.1</v>
      </c>
      <c r="J2" s="2"/>
      <c r="K2" s="2"/>
      <c r="L2" s="2"/>
      <c r="M2" s="2" t="n">
        <v>7</v>
      </c>
      <c r="N2" s="2" t="s">
        <v>221</v>
      </c>
      <c r="O2" s="2" t="s">
        <v>624</v>
      </c>
    </row>
    <row r="3" customFormat="false" ht="162" hidden="false" customHeight="true" outlineLevel="0" collapsed="false">
      <c r="A3" s="2" t="s">
        <v>625</v>
      </c>
      <c r="B3" s="2" t="n">
        <v>2015</v>
      </c>
      <c r="C3" s="2" t="n">
        <v>3</v>
      </c>
      <c r="D3" s="2" t="s">
        <v>157</v>
      </c>
      <c r="E3" s="2" t="s">
        <v>198</v>
      </c>
      <c r="F3" s="2" t="s">
        <v>621</v>
      </c>
      <c r="G3" s="2" t="s">
        <v>622</v>
      </c>
      <c r="H3" s="2" t="s">
        <v>623</v>
      </c>
      <c r="I3" s="2" t="n">
        <v>16.9</v>
      </c>
      <c r="J3" s="2"/>
      <c r="K3" s="2"/>
      <c r="L3" s="2"/>
      <c r="M3" s="2" t="n">
        <v>11</v>
      </c>
      <c r="N3" s="2" t="s">
        <v>173</v>
      </c>
      <c r="O3" s="2" t="s">
        <v>626</v>
      </c>
    </row>
    <row r="4" customFormat="false" ht="162" hidden="false" customHeight="true" outlineLevel="0" collapsed="false">
      <c r="A4" s="2" t="s">
        <v>627</v>
      </c>
      <c r="B4" s="2" t="n">
        <v>2015</v>
      </c>
      <c r="C4" s="2" t="n">
        <v>5</v>
      </c>
      <c r="D4" s="2" t="s">
        <v>92</v>
      </c>
      <c r="E4" s="2" t="s">
        <v>214</v>
      </c>
      <c r="F4" s="2" t="s">
        <v>621</v>
      </c>
      <c r="G4" s="2" t="s">
        <v>622</v>
      </c>
      <c r="H4" s="2" t="s">
        <v>623</v>
      </c>
      <c r="I4" s="2" t="n">
        <v>15.1</v>
      </c>
      <c r="J4" s="2"/>
      <c r="K4" s="2"/>
      <c r="L4" s="2"/>
      <c r="M4" s="2" t="n">
        <v>7</v>
      </c>
      <c r="N4" s="2" t="s">
        <v>173</v>
      </c>
      <c r="O4" s="2" t="s">
        <v>628</v>
      </c>
    </row>
    <row r="5" customFormat="false" ht="162" hidden="false" customHeight="true" outlineLevel="0" collapsed="false">
      <c r="A5" s="2" t="s">
        <v>629</v>
      </c>
      <c r="B5" s="2" t="n">
        <v>2015</v>
      </c>
      <c r="C5" s="2" t="n">
        <v>6</v>
      </c>
      <c r="D5" s="2" t="s">
        <v>132</v>
      </c>
      <c r="E5" s="2" t="s">
        <v>122</v>
      </c>
      <c r="F5" s="2" t="s">
        <v>621</v>
      </c>
      <c r="G5" s="2" t="s">
        <v>622</v>
      </c>
      <c r="H5" s="2" t="s">
        <v>623</v>
      </c>
      <c r="I5" s="2" t="n">
        <v>14.8</v>
      </c>
      <c r="J5" s="2"/>
      <c r="K5" s="2"/>
      <c r="L5" s="2"/>
      <c r="M5" s="2" t="n">
        <v>10</v>
      </c>
      <c r="N5" s="2" t="s">
        <v>183</v>
      </c>
      <c r="O5" s="2" t="s">
        <v>630</v>
      </c>
    </row>
    <row r="6" customFormat="false" ht="243" hidden="false" customHeight="true" outlineLevel="0" collapsed="false">
      <c r="A6" s="2" t="s">
        <v>631</v>
      </c>
      <c r="B6" s="2" t="n">
        <v>2015</v>
      </c>
      <c r="C6" s="2" t="n">
        <v>9</v>
      </c>
      <c r="D6" s="2" t="s">
        <v>95</v>
      </c>
      <c r="E6" s="2" t="s">
        <v>128</v>
      </c>
      <c r="F6" s="2" t="s">
        <v>50</v>
      </c>
      <c r="G6" s="2" t="s">
        <v>622</v>
      </c>
      <c r="H6" s="2" t="s">
        <v>623</v>
      </c>
      <c r="I6" s="2" t="n">
        <v>8.8</v>
      </c>
      <c r="J6" s="2"/>
      <c r="K6" s="2"/>
      <c r="L6" s="2"/>
      <c r="M6" s="2" t="n">
        <v>21</v>
      </c>
      <c r="N6" s="2" t="s">
        <v>98</v>
      </c>
      <c r="O6" s="2" t="s">
        <v>632</v>
      </c>
    </row>
  </sheetData>
  <autoFilter ref="A1:O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2026-10-16T16:50:50Z</dcterms:created>
  <dc:creator>openpyxl</dc:creator>
  <dc:description/>
  <dc:language>en-US</dc:language>
  <cp:lastModifiedBy/>
  <dcterms:modified xsi:type="dcterms:W3CDTF">2026-10-18T03:39:52Z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